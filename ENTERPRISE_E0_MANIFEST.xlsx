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0_Assumptions" sheetId="2" state="visible" r:id="rId2"/>
    <sheet xmlns:r="http://schemas.openxmlformats.org/officeDocument/2006/relationships" name="01_Consist" sheetId="3" state="visible" r:id="rId3"/>
    <sheet xmlns:r="http://schemas.openxmlformats.org/officeDocument/2006/relationships" name="02_Kits_L" sheetId="4" state="visible" r:id="rId4"/>
    <sheet xmlns:r="http://schemas.openxmlformats.org/officeDocument/2006/relationships" name="03_Kits_M" sheetId="5" state="visible" r:id="rId5"/>
    <sheet xmlns:r="http://schemas.openxmlformats.org/officeDocument/2006/relationships" name="04_Stores" sheetId="6" state="visible" r:id="rId6"/>
    <sheet xmlns:r="http://schemas.openxmlformats.org/officeDocument/2006/relationships" name="05_Feasibility" sheetId="7" state="visible" r:id="rId7"/>
    <sheet xmlns:r="http://schemas.openxmlformats.org/officeDocument/2006/relationships" name="06_E0_Gat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i val="1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874A6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6EAF8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EAF8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center" wrapText="1"/>
    </xf>
    <xf numFmtId="164" fontId="10" fillId="0" borderId="1" applyAlignment="1" pivotButton="0" quotePrefix="0" xfId="0">
      <alignment horizontal="general" vertical="center" wrapText="1"/>
    </xf>
    <xf numFmtId="2" fontId="10" fillId="0" borderId="1" applyAlignment="1" pivotButton="0" quotePrefix="0" xfId="0">
      <alignment horizontal="general" vertical="center" wrapText="1"/>
    </xf>
    <xf numFmtId="1" fontId="10" fillId="0" borderId="1" applyAlignment="1" pivotButton="0" quotePrefix="0" xfId="0">
      <alignment horizontal="general" vertical="center" wrapText="1"/>
    </xf>
    <xf numFmtId="3" fontId="10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7" fillId="6" borderId="1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2" fontId="9" fillId="4" borderId="1" applyAlignment="1" pivotButton="0" quotePrefix="0" xfId="0">
      <alignment horizontal="general" vertical="center" wrapText="1"/>
    </xf>
    <xf numFmtId="164" fontId="0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  <xf numFmtId="0" fontId="6" fillId="8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center" wrapText="1"/>
    </xf>
    <xf numFmtId="164" fontId="10" fillId="0" borderId="1" applyAlignment="1" pivotButton="0" quotePrefix="0" xfId="0">
      <alignment horizontal="general" vertical="center" wrapText="1"/>
    </xf>
    <xf numFmtId="2" fontId="10" fillId="0" borderId="1" applyAlignment="1" pivotButton="0" quotePrefix="0" xfId="0">
      <alignment horizontal="general" vertical="center" wrapText="1"/>
    </xf>
    <xf numFmtId="1" fontId="10" fillId="0" borderId="1" applyAlignment="1" pivotButton="0" quotePrefix="0" xfId="0">
      <alignment horizontal="general" vertical="center" wrapText="1"/>
    </xf>
    <xf numFmtId="3" fontId="10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7" fillId="6" borderId="1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2" fontId="9" fillId="4" borderId="1" applyAlignment="1" pivotButton="0" quotePrefix="0" xfId="0">
      <alignment horizontal="general" vertical="center" wrapText="1"/>
    </xf>
    <xf numFmtId="164" fontId="0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  <xf numFmtId="0" fontId="6" fillId="8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BFBFBF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6" min="1" max="1"/>
    <col width="88" customWidth="1" style="26" min="2" max="2"/>
  </cols>
  <sheetData>
    <row r="1" ht="27.75" customHeight="1" s="27">
      <c r="A1" s="28" t="inlineStr">
        <is>
          <t>Enterprise E0 Manifest — how to use</t>
        </is>
      </c>
    </row>
    <row r="3" ht="15" customHeight="1" s="27">
      <c r="A3" s="29" t="inlineStr">
        <is>
          <t>Sheet</t>
        </is>
      </c>
      <c r="B3" s="29" t="inlineStr">
        <is>
          <t>What it is</t>
        </is>
      </c>
    </row>
    <row r="4" ht="15" customHeight="1" s="27">
      <c r="A4" s="30" t="inlineStr">
        <is>
          <t>00_Assumptions</t>
        </is>
      </c>
      <c r="B4" s="31" t="inlineStr">
        <is>
          <t>Yellow knobs. Derived hotel kit count, disc counts, food kg.</t>
        </is>
      </c>
    </row>
    <row r="5" ht="15" customHeight="1" s="27">
      <c r="A5" s="30" t="inlineStr">
        <is>
          <t>01_Consist</t>
        </is>
      </c>
      <c r="B5" s="31" t="inlineStr">
        <is>
          <t>Cars on Moon (L) vs Mars (M). Landers on Lock Node waist. RP-1 optional aft.</t>
        </is>
      </c>
    </row>
    <row r="6" ht="15" customHeight="1" s="27">
      <c r="A6" s="30" t="inlineStr">
        <is>
          <t>02_Kits_L</t>
        </is>
      </c>
      <c r="B6" s="31" t="inlineStr">
        <is>
          <t>Named initial outfitting for Enterprise-L.</t>
        </is>
      </c>
    </row>
    <row r="7" ht="15" customHeight="1" s="27">
      <c r="A7" s="30" t="inlineStr">
        <is>
          <t>03_Kits_M</t>
        </is>
      </c>
      <c r="B7" s="31" t="inlineStr">
        <is>
          <t>Named initial outfitting for Enterprise-M.</t>
        </is>
      </c>
    </row>
    <row r="8" ht="15" customHeight="1" s="27">
      <c r="A8" s="30" t="inlineStr">
        <is>
          <t>04_Stores</t>
        </is>
      </c>
      <c r="B8" s="31" t="inlineStr">
        <is>
          <t>12-crew stores. Food linked to assumptions.</t>
        </is>
      </c>
    </row>
    <row r="9" ht="15" customHeight="1" s="27">
      <c r="A9" s="30" t="inlineStr">
        <is>
          <t>05_Feasibility</t>
        </is>
      </c>
      <c r="B9" s="31" t="inlineStr">
        <is>
          <t>Issues and fixes. Companion to current ENTERPRISE.md.</t>
        </is>
      </c>
    </row>
    <row r="10" ht="15" customHeight="1" s="27">
      <c r="A10" s="30" t="inlineStr">
        <is>
          <t>06_E0_Gates</t>
        </is>
      </c>
      <c r="B10" s="31" t="inlineStr">
        <is>
          <t>Campaign tracker. Status starts OPEN.</t>
        </is>
      </c>
    </row>
    <row r="12" ht="15" customHeight="1" s="27">
      <c r="A12" s="32" t="inlineStr">
        <is>
          <t>Blue text + yellow fill = input. Black = formula. Companion to ENTERPRISE.md at repo root. Not a launch license.</t>
        </is>
      </c>
    </row>
  </sheetData>
  <mergeCells count="2">
    <mergeCell ref="A1:B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26" min="1" max="1"/>
    <col width="16" customWidth="1" style="26" min="2" max="2"/>
    <col width="55" customWidth="1" style="26" min="3" max="3"/>
  </cols>
  <sheetData>
    <row r="1" ht="27.75" customHeight="1" s="27">
      <c r="A1" s="28" t="inlineStr">
        <is>
          <t>Locked inputs and derived counts</t>
        </is>
      </c>
    </row>
    <row r="2" ht="15" customHeight="1" s="27">
      <c r="A2" s="33" t="inlineStr">
        <is>
          <t>Edit yellow cells only. Humai Accord · 27 Sep 2026 · planning arithmetic</t>
        </is>
      </c>
    </row>
    <row r="4" ht="15" customHeight="1" s="27">
      <c r="A4" s="29" t="inlineStr">
        <is>
          <t>Parameter</t>
        </is>
      </c>
      <c r="B4" s="29" t="inlineStr">
        <is>
          <t>Value</t>
        </is>
      </c>
      <c r="C4" s="29" t="inlineStr">
        <is>
          <t>Note</t>
        </is>
      </c>
    </row>
    <row r="5" ht="15" customHeight="1" s="27">
      <c r="A5" s="31" t="inlineStr">
        <is>
          <t>Crew</t>
        </is>
      </c>
      <c r="B5" s="34" t="n">
        <v>12</v>
      </c>
      <c r="C5" s="31" t="inlineStr">
        <is>
          <t>Locked cruise complement</t>
        </is>
      </c>
    </row>
    <row r="6" ht="15" customHeight="1" s="27">
      <c r="A6" s="31" t="inlineStr">
        <is>
          <t>Rim radius r (m)</t>
        </is>
      </c>
      <c r="B6" s="34" t="n">
        <v>25</v>
      </c>
      <c r="C6" s="31" t="inlineStr">
        <is>
          <t>Default first-article disc</t>
        </is>
      </c>
    </row>
    <row r="7" ht="15" customHeight="1" s="27">
      <c r="A7" s="31" t="inlineStr">
        <is>
          <t>Ring width w (m)</t>
        </is>
      </c>
      <c r="B7" s="34" t="n">
        <v>4.5</v>
      </c>
      <c r="C7" s="31" t="inlineStr">
        <is>
          <t>Habitable ring</t>
        </is>
      </c>
    </row>
    <row r="8" ht="15" customHeight="1" s="27">
      <c r="A8" s="31" t="inlineStr">
        <is>
          <t>Target rim acceleration (g)</t>
        </is>
      </c>
      <c r="B8" s="34" t="n">
        <v>0.3</v>
      </c>
      <c r="C8" s="31" t="inlineStr">
        <is>
          <t>Walkable, not Earth-normal</t>
        </is>
      </c>
    </row>
    <row r="9" ht="15" customHeight="1" s="27">
      <c r="A9" s="31" t="inlineStr">
        <is>
          <t>Hotel bus target (kWe)</t>
        </is>
      </c>
      <c r="B9" s="34" t="n">
        <v>45</v>
      </c>
      <c r="C9" s="31" t="inlineStr">
        <is>
          <t>12 crew + wet + wheels + flex + comms mid-band</t>
        </is>
      </c>
    </row>
    <row r="10" ht="15" customHeight="1" s="27">
      <c r="A10" s="31" t="inlineStr">
        <is>
          <t>RLC-10 class output (kWe)</t>
        </is>
      </c>
      <c r="B10" s="34" t="n">
        <v>10</v>
      </c>
      <c r="C10" s="31" t="inlineStr">
        <is>
          <t>KP-10-S class example (10 kWe). Hotel N = 5 online + 2 spare at 45 kWe.</t>
        </is>
      </c>
    </row>
    <row r="11" ht="15" customHeight="1" s="27">
      <c r="A11" s="31" t="inlineStr">
        <is>
          <t>Hotel spare fraction</t>
        </is>
      </c>
      <c r="B11" s="34" t="n">
        <v>0.25</v>
      </c>
      <c r="C11" s="31" t="inlineStr">
        <is>
          <t>Spare / online cassettes</t>
        </is>
      </c>
    </row>
    <row r="12" ht="15" customHeight="1" s="27">
      <c r="A12" s="31" t="inlineStr">
        <is>
          <t>Moon train-days</t>
        </is>
      </c>
      <c r="B12" s="34" t="n">
        <v>45</v>
      </c>
      <c r="C12" s="31" t="inlineStr">
        <is>
          <t>Earth–Moon + survey window</t>
        </is>
      </c>
    </row>
    <row r="13" ht="15" customHeight="1" s="27">
      <c r="A13" s="31" t="inlineStr">
        <is>
          <t>Mars outbound days</t>
        </is>
      </c>
      <c r="B13" s="34" t="n">
        <v>220</v>
      </c>
      <c r="C13" s="31" t="inlineStr">
        <is>
          <t>Conjunction-class</t>
        </is>
      </c>
    </row>
    <row r="14" ht="15" customHeight="1" s="27">
      <c r="A14" s="31" t="inlineStr">
        <is>
          <t>Mars inbound days</t>
        </is>
      </c>
      <c r="B14" s="34" t="n">
        <v>220</v>
      </c>
      <c r="C14" s="31" t="inlineStr">
        <is>
          <t>Conjunction-class</t>
        </is>
      </c>
    </row>
    <row r="15" ht="15" customHeight="1" s="27">
      <c r="A15" s="31" t="inlineStr">
        <is>
          <t>Food kg per person-day</t>
        </is>
      </c>
      <c r="B15" s="34" t="n">
        <v>1.7</v>
      </c>
      <c r="C15" s="31" t="inlineStr">
        <is>
          <t>Packed planning factor (ENTERPRISE food band ~1.7–1.8)</t>
        </is>
      </c>
    </row>
    <row r="16" ht="15" customHeight="1" s="27">
      <c r="A16" s="31" t="inlineStr">
        <is>
          <t>Food mass margin</t>
        </is>
      </c>
      <c r="B16" s="34" t="n">
        <v>0.15</v>
      </c>
      <c r="C16" s="31" t="inlineStr">
        <is>
          <t>On person-days</t>
        </is>
      </c>
    </row>
    <row r="17" ht="15" customHeight="1" s="27">
      <c r="A17" s="31" t="inlineStr">
        <is>
          <t>Lander-L party</t>
        </is>
      </c>
      <c r="B17" s="34" t="n">
        <v>4</v>
      </c>
      <c r="C17" s="31" t="inlineStr">
        <is>
          <t>Of crew of 12</t>
        </is>
      </c>
    </row>
    <row r="18" ht="15" customHeight="1" s="27">
      <c r="A18" s="31" t="inlineStr">
        <is>
          <t>Lander-M party</t>
        </is>
      </c>
      <c r="B18" s="34" t="n">
        <v>6</v>
      </c>
      <c r="C18" s="31" t="inlineStr">
        <is>
          <t>Of crew of 12</t>
        </is>
      </c>
    </row>
    <row r="19" ht="15" customHeight="1" s="27">
      <c r="A19" s="31" t="inlineStr">
        <is>
          <t>Core spinning discs</t>
        </is>
      </c>
      <c r="B19" s="34" t="n">
        <v>6</v>
      </c>
      <c r="C19" s="31" t="inlineStr">
        <is>
          <t>Commons first (acoustic buffer), Quarters, LS, Med, Stores, Aft comms</t>
        </is>
      </c>
    </row>
    <row r="20" ht="15" customHeight="1" s="27">
      <c r="A20" s="31" t="inlineStr">
        <is>
          <t>Moon extra discs</t>
        </is>
      </c>
      <c r="B20" s="34" t="n">
        <v>2</v>
      </c>
      <c r="C20" s="31" t="inlineStr">
        <is>
          <t>Survey, Drill-prep (Lock Node does not spin)</t>
        </is>
      </c>
    </row>
    <row r="21" ht="15" customHeight="1" s="27">
      <c r="A21" s="31" t="inlineStr">
        <is>
          <t>Mars extra discs</t>
        </is>
      </c>
      <c r="B21" s="34" t="n">
        <v>3</v>
      </c>
      <c r="C21" s="31" t="inlineStr">
        <is>
          <t>Hydro-2, Long-stores, Surface-ops</t>
        </is>
      </c>
    </row>
    <row r="23" ht="15" customHeight="1" s="27">
      <c r="A23" s="29" t="inlineStr">
        <is>
          <t>Derived</t>
        </is>
      </c>
      <c r="B23" s="29" t="inlineStr">
        <is>
          <t>Result</t>
        </is>
      </c>
      <c r="C23" s="29" t="inlineStr">
        <is>
          <t>Note</t>
        </is>
      </c>
    </row>
    <row r="24" ht="15" customHeight="1" s="27">
      <c r="A24" s="31" t="inlineStr">
        <is>
          <t>Rim floor area per disc (m²)</t>
        </is>
      </c>
      <c r="B24" s="35">
        <f>2*PI()*B6*B7</f>
        <v/>
      </c>
      <c r="C24" s="31" t="inlineStr">
        <is>
          <t>2π r w</t>
        </is>
      </c>
    </row>
    <row r="25" ht="15" customHeight="1" s="27">
      <c r="A25" s="31" t="inlineStr">
        <is>
          <t>Spin rpm for target g</t>
        </is>
      </c>
      <c r="B25" s="36">
        <f>SQRT(B8*9.80665/B6)*60/(2*PI())</f>
        <v/>
      </c>
      <c r="C25" s="31" t="inlineStr">
        <is>
          <t>ω = √(a/r)</t>
        </is>
      </c>
    </row>
    <row r="26" ht="15" customHeight="1" s="27">
      <c r="A26" s="31" t="inlineStr">
        <is>
          <t>Hotel online RLC-10 kits</t>
        </is>
      </c>
      <c r="B26" s="37">
        <f>CEILING(B9/B10,1)</f>
        <v/>
      </c>
      <c r="C26" s="31" t="inlineStr">
        <is>
          <t>CEILING(hotel / class)</t>
        </is>
      </c>
    </row>
    <row r="27" ht="15" customHeight="1" s="27">
      <c r="A27" s="31" t="inlineStr">
        <is>
          <t>Hotel spare kits</t>
        </is>
      </c>
      <c r="B27" s="37">
        <f>MAX(1,ROUNDUP(B26*B11,0))</f>
        <v/>
      </c>
      <c r="C27" s="31" t="inlineStr">
        <is>
          <t>At least 1 spare</t>
        </is>
      </c>
    </row>
    <row r="28" ht="15" customHeight="1" s="27">
      <c r="A28" s="31" t="inlineStr">
        <is>
          <t>Hotel kits total N_hotel</t>
        </is>
      </c>
      <c r="B28" s="37">
        <f>B26+B27</f>
        <v/>
      </c>
      <c r="C28" s="31" t="inlineStr">
        <is>
          <t>Online + spare</t>
        </is>
      </c>
    </row>
    <row r="29" ht="15" customHeight="1" s="27">
      <c r="A29" s="31" t="inlineStr">
        <is>
          <t>Moon spinning discs</t>
        </is>
      </c>
      <c r="B29" s="37">
        <f>B19+B20</f>
        <v/>
      </c>
      <c r="C29" s="31" t="inlineStr">
        <is>
          <t>Core + extras</t>
        </is>
      </c>
    </row>
    <row r="30" ht="15" customHeight="1" s="27">
      <c r="A30" s="31" t="inlineStr">
        <is>
          <t>Mars spinning discs</t>
        </is>
      </c>
      <c r="B30" s="37">
        <f>B19+B21</f>
        <v/>
      </c>
      <c r="C30" s="31" t="inlineStr">
        <is>
          <t>Core + extras</t>
        </is>
      </c>
    </row>
    <row r="31" ht="15" customHeight="1" s="27">
      <c r="A31" s="31" t="inlineStr">
        <is>
          <t>Moon person-days</t>
        </is>
      </c>
      <c r="B31" s="38">
        <f>B5*B12</f>
        <v/>
      </c>
      <c r="C31" s="31" t="inlineStr">
        <is>
          <t>Crew × days</t>
        </is>
      </c>
    </row>
    <row r="32" ht="15" customHeight="1" s="27">
      <c r="A32" s="31" t="inlineStr">
        <is>
          <t>Mars transit person-days</t>
        </is>
      </c>
      <c r="B32" s="38">
        <f>B5*(B13+B14)</f>
        <v/>
      </c>
      <c r="C32" s="31" t="inlineStr">
        <is>
          <t>Crew × (out+in)</t>
        </is>
      </c>
    </row>
    <row r="33" ht="15" customHeight="1" s="27">
      <c r="A33" s="31" t="inlineStr">
        <is>
          <t>Moon food kg</t>
        </is>
      </c>
      <c r="B33" s="38">
        <f>B31*B15*(1+B16)</f>
        <v/>
      </c>
      <c r="C33" s="31" t="inlineStr">
        <is>
          <t>Incl. margin</t>
        </is>
      </c>
    </row>
    <row r="34" ht="15" customHeight="1" s="27">
      <c r="A34" s="31" t="inlineStr">
        <is>
          <t>Mars train food kg</t>
        </is>
      </c>
      <c r="B34" s="38">
        <f>B32*B15*(1+B16)</f>
        <v/>
      </c>
      <c r="C34" s="31" t="inlineStr">
        <is>
          <t>Transit only</t>
        </is>
      </c>
    </row>
    <row r="35">
      <c r="A35" s="26" t="inlineStr">
        <is>
          <t>Disc mass band t</t>
        </is>
      </c>
      <c r="B35" s="26" t="inlineStr">
        <is>
          <t>16-25 outfitted</t>
        </is>
      </c>
      <c r="C35" s="26" t="inlineStr">
        <is>
          <t>Workbook G-column aligned Sep 26 2026. Instrument first article 12-18 t.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2"/>
    <col width="28" customWidth="1" style="26" min="3" max="3"/>
    <col width="14" customWidth="1" style="26" min="4" max="4"/>
    <col width="8" customWidth="1" style="26" min="5" max="7"/>
    <col width="52" customWidth="1" style="26" min="8" max="8"/>
  </cols>
  <sheetData>
    <row r="1" ht="27.75" customHeight="1" s="27">
      <c r="A1" s="28" t="inlineStr">
        <is>
          <t>Consist map — core + L + M</t>
        </is>
      </c>
    </row>
    <row r="2" ht="15" customHeight="1" s="27">
      <c r="A2" s="33" t="inlineStr">
        <is>
          <t>Fore stack, Lock Node, and lander do not spin. Commons is the first spinning disc (noise buffer). Order is bow-to-stern.</t>
        </is>
      </c>
    </row>
    <row r="3" ht="15" customHeight="1" s="27">
      <c r="A3" s="29" t="inlineStr">
        <is>
          <t>Order L</t>
        </is>
      </c>
      <c r="B3" s="29" t="inlineStr">
        <is>
          <t>Order M</t>
        </is>
      </c>
      <c r="C3" s="29" t="inlineStr">
        <is>
          <t>Car</t>
        </is>
      </c>
      <c r="D3" s="29" t="inlineStr">
        <is>
          <t>Class</t>
        </is>
      </c>
      <c r="E3" s="29" t="inlineStr">
        <is>
          <t>On L</t>
        </is>
      </c>
      <c r="F3" s="29" t="inlineStr">
        <is>
          <t>On M</t>
        </is>
      </c>
      <c r="G3" s="29" t="inlineStr">
        <is>
          <t>Spins</t>
        </is>
      </c>
      <c r="H3" s="29" t="inlineStr">
        <is>
          <t>Role</t>
        </is>
      </c>
    </row>
    <row r="4" ht="15" customHeight="1" s="27">
      <c r="A4" s="31" t="n">
        <v>1</v>
      </c>
      <c r="B4" s="31" t="n">
        <v>1</v>
      </c>
      <c r="C4" s="31" t="inlineStr">
        <is>
          <t>Fore stack</t>
        </is>
      </c>
      <c r="D4" s="31" t="inlineStr">
        <is>
          <t>End</t>
        </is>
      </c>
      <c r="E4" s="39" t="inlineStr">
        <is>
          <t>Y</t>
        </is>
      </c>
      <c r="F4" s="39" t="inlineStr">
        <is>
          <t>Y</t>
        </is>
      </c>
      <c r="G4" s="40" t="inlineStr">
        <is>
          <t>N</t>
        </is>
      </c>
      <c r="H4" s="31" t="inlineStr">
        <is>
          <t>Plant, flanks, primary comms, assist tanks</t>
        </is>
      </c>
    </row>
    <row r="5" ht="15" customHeight="1" s="27">
      <c r="A5" s="31" t="n">
        <v>2</v>
      </c>
      <c r="B5" s="31" t="n">
        <v>2</v>
      </c>
      <c r="C5" s="31" t="inlineStr">
        <is>
          <t>Commons / galley</t>
        </is>
      </c>
      <c r="D5" s="31" t="inlineStr">
        <is>
          <t>Core</t>
        </is>
      </c>
      <c r="E5" s="39" t="inlineStr">
        <is>
          <t>Y</t>
        </is>
      </c>
      <c r="F5" s="39" t="inlineStr">
        <is>
          <t>Y</t>
        </is>
      </c>
      <c r="G5" s="39" t="inlineStr">
        <is>
          <t>Y</t>
        </is>
      </c>
      <c r="H5" s="31" t="inlineStr">
        <is>
          <t>12 cabins + wash; M hub shelter volume</t>
        </is>
      </c>
    </row>
    <row r="6" ht="15" customHeight="1" s="27">
      <c r="A6" s="31" t="n">
        <v>3</v>
      </c>
      <c r="B6" s="31" t="n">
        <v>3</v>
      </c>
      <c r="C6" s="31" t="inlineStr">
        <is>
          <t>Quarters (shelter hub)</t>
        </is>
      </c>
      <c r="D6" s="31" t="inlineStr">
        <is>
          <t>Core</t>
        </is>
      </c>
      <c r="E6" s="39" t="inlineStr">
        <is>
          <t>Y</t>
        </is>
      </c>
      <c r="F6" s="39" t="inlineStr">
        <is>
          <t>Y</t>
        </is>
      </c>
      <c r="G6" s="39" t="inlineStr">
        <is>
          <t>Y</t>
        </is>
      </c>
      <c r="H6" s="31" t="inlineStr">
        <is>
          <t>Mess, brief, watch copy</t>
        </is>
      </c>
    </row>
    <row r="7" ht="15" customHeight="1" s="27">
      <c r="A7" s="31" t="n">
        <v>4</v>
      </c>
      <c r="B7" s="31" t="n">
        <v>4</v>
      </c>
      <c r="C7" s="31" t="inlineStr">
        <is>
          <t>Life-support / hydro</t>
        </is>
      </c>
      <c r="D7" s="31" t="inlineStr">
        <is>
          <t>Core</t>
        </is>
      </c>
      <c r="E7" s="39" t="inlineStr">
        <is>
          <t>Y</t>
        </is>
      </c>
      <c r="F7" s="39" t="inlineStr">
        <is>
          <t>Y</t>
        </is>
      </c>
      <c r="G7" s="39" t="inlineStr">
        <is>
          <t>Y</t>
        </is>
      </c>
      <c r="H7" s="31" t="inlineStr">
        <is>
          <t>Wet loops; plants as buffer</t>
        </is>
      </c>
    </row>
    <row r="8" ht="15" customHeight="1" s="27">
      <c r="A8" s="31" t="inlineStr">
        <is>
          <t>—</t>
        </is>
      </c>
      <c r="B8" s="31" t="n">
        <v>5</v>
      </c>
      <c r="C8" s="31" t="inlineStr">
        <is>
          <t>Hydro-2 / food buffer</t>
        </is>
      </c>
      <c r="D8" s="31" t="inlineStr">
        <is>
          <t>Mars extra</t>
        </is>
      </c>
      <c r="E8" s="40" t="inlineStr">
        <is>
          <t>N</t>
        </is>
      </c>
      <c r="F8" s="39" t="inlineStr">
        <is>
          <t>Y</t>
        </is>
      </c>
      <c r="G8" s="39" t="inlineStr">
        <is>
          <t>Y</t>
        </is>
      </c>
      <c r="H8" s="31" t="inlineStr">
        <is>
          <t>Second wet / food overflow</t>
        </is>
      </c>
    </row>
    <row r="9" ht="15" customHeight="1" s="27">
      <c r="A9" s="31" t="n">
        <v>5</v>
      </c>
      <c r="B9" s="31" t="n">
        <v>6</v>
      </c>
      <c r="C9" s="31" t="inlineStr">
        <is>
          <t>Medical / quarantine</t>
        </is>
      </c>
      <c r="D9" s="31" t="inlineStr">
        <is>
          <t>Core</t>
        </is>
      </c>
      <c r="E9" s="39" t="inlineStr">
        <is>
          <t>Y</t>
        </is>
      </c>
      <c r="F9" s="39" t="inlineStr">
        <is>
          <t>Y</t>
        </is>
      </c>
      <c r="G9" s="39" t="inlineStr">
        <is>
          <t>Y</t>
        </is>
      </c>
      <c r="H9" s="31" t="inlineStr">
        <is>
          <t>Clinic + closeable air</t>
        </is>
      </c>
    </row>
    <row r="10" ht="15" customHeight="1" s="27">
      <c r="A10" s="31" t="n">
        <v>6</v>
      </c>
      <c r="B10" s="31" t="n">
        <v>7</v>
      </c>
      <c r="C10" s="31" t="inlineStr">
        <is>
          <t>Stores / shop</t>
        </is>
      </c>
      <c r="D10" s="31" t="inlineStr">
        <is>
          <t>Core</t>
        </is>
      </c>
      <c r="E10" s="39" t="inlineStr">
        <is>
          <t>Y</t>
        </is>
      </c>
      <c r="F10" s="39" t="inlineStr">
        <is>
          <t>Y</t>
        </is>
      </c>
      <c r="G10" s="39" t="inlineStr">
        <is>
          <t>Y</t>
        </is>
      </c>
      <c r="H10" s="31" t="inlineStr">
        <is>
          <t>L EVA-heavy; M food-heavy</t>
        </is>
      </c>
    </row>
    <row r="11" ht="15" customHeight="1" s="27">
      <c r="A11" s="31" t="inlineStr">
        <is>
          <t>—</t>
        </is>
      </c>
      <c r="B11" s="31" t="n">
        <v>8</v>
      </c>
      <c r="C11" s="31" t="inlineStr">
        <is>
          <t>Long-stores</t>
        </is>
      </c>
      <c r="D11" s="31" t="inlineStr">
        <is>
          <t>Mars extra</t>
        </is>
      </c>
      <c r="E11" s="40" t="inlineStr">
        <is>
          <t>N</t>
        </is>
      </c>
      <c r="F11" s="39" t="inlineStr">
        <is>
          <t>Y</t>
        </is>
      </c>
      <c r="G11" s="39" t="inlineStr">
        <is>
          <t>Y</t>
        </is>
      </c>
      <c r="H11" s="31" t="inlineStr">
        <is>
          <t>Transit food, water, spare wheels/gel</t>
        </is>
      </c>
    </row>
    <row r="12" ht="15" customHeight="1" s="27">
      <c r="A12" s="31" t="n">
        <v>7</v>
      </c>
      <c r="B12" s="31" t="inlineStr">
        <is>
          <t>—</t>
        </is>
      </c>
      <c r="C12" s="31" t="inlineStr">
        <is>
          <t>Survey / mapping lab</t>
        </is>
      </c>
      <c r="D12" s="31" t="inlineStr">
        <is>
          <t>Moon extra</t>
        </is>
      </c>
      <c r="E12" s="39" t="inlineStr">
        <is>
          <t>Y</t>
        </is>
      </c>
      <c r="F12" s="40" t="inlineStr">
        <is>
          <t>N</t>
        </is>
      </c>
      <c r="G12" s="39" t="inlineStr">
        <is>
          <t>Y</t>
        </is>
      </c>
      <c r="H12" s="31" t="inlineStr">
        <is>
          <t>Orbit survey instruments</t>
        </is>
      </c>
    </row>
    <row r="13" ht="15" customHeight="1" s="27">
      <c r="A13" s="31" t="n">
        <v>8</v>
      </c>
      <c r="B13" s="31" t="inlineStr">
        <is>
          <t>—</t>
        </is>
      </c>
      <c r="C13" s="31" t="inlineStr">
        <is>
          <t>Drill-prep / sample</t>
        </is>
      </c>
      <c r="D13" s="31" t="inlineStr">
        <is>
          <t>Moon extra</t>
        </is>
      </c>
      <c r="E13" s="39" t="inlineStr">
        <is>
          <t>Y</t>
        </is>
      </c>
      <c r="F13" s="40" t="inlineStr">
        <is>
          <t>N</t>
        </is>
      </c>
      <c r="G13" s="39" t="inlineStr">
        <is>
          <t>Y</t>
        </is>
      </c>
      <c r="H13" s="31" t="inlineStr">
        <is>
          <t>Suits; dust not in quarters air</t>
        </is>
      </c>
    </row>
    <row r="14" ht="15" customHeight="1" s="27">
      <c r="A14" s="31" t="inlineStr">
        <is>
          <t>—</t>
        </is>
      </c>
      <c r="B14" s="31" t="n">
        <v>9</v>
      </c>
      <c r="C14" s="31" t="inlineStr">
        <is>
          <t>Surface-ops lab</t>
        </is>
      </c>
      <c r="D14" s="31" t="inlineStr">
        <is>
          <t>Mars extra</t>
        </is>
      </c>
      <c r="E14" s="39" t="inlineStr">
        <is>
          <t>N</t>
        </is>
      </c>
      <c r="F14" s="40" t="inlineStr">
        <is>
          <t>Y</t>
        </is>
      </c>
      <c r="G14" s="39" t="inlineStr">
        <is>
          <t>Y</t>
        </is>
      </c>
      <c r="H14" s="31" t="inlineStr">
        <is>
          <t>Shallow rigs and cuttings</t>
        </is>
      </c>
    </row>
    <row r="15" ht="15" customHeight="1" s="27">
      <c r="A15" s="31" t="n">
        <v>9</v>
      </c>
      <c r="B15" s="31" t="n">
        <v>10</v>
      </c>
      <c r="C15" s="31" t="inlineStr">
        <is>
          <t>Aft comms</t>
        </is>
      </c>
      <c r="D15" s="31" t="inlineStr">
        <is>
          <t>Core</t>
        </is>
      </c>
      <c r="E15" s="40" t="inlineStr">
        <is>
          <t>Y</t>
        </is>
      </c>
      <c r="F15" s="39" t="inlineStr">
        <is>
          <t>Y</t>
        </is>
      </c>
      <c r="G15" s="39" t="inlineStr">
        <is>
          <t>Y</t>
        </is>
      </c>
      <c r="H15" s="31" t="inlineStr">
        <is>
          <t>Sample / ISRU bench / suit</t>
        </is>
      </c>
    </row>
    <row r="16" ht="15" customHeight="1" s="27">
      <c r="A16" s="31" t="n">
        <v>10</v>
      </c>
      <c r="B16" s="31" t="n">
        <v>11</v>
      </c>
      <c r="C16" s="31" t="inlineStr">
        <is>
          <t>Lock Node</t>
        </is>
      </c>
      <c r="D16" s="31" t="inlineStr">
        <is>
          <t>Node</t>
        </is>
      </c>
      <c r="E16" s="39" t="inlineStr">
        <is>
          <t>Y</t>
        </is>
      </c>
      <c r="F16" s="39" t="inlineStr">
        <is>
          <t>Y</t>
        </is>
      </c>
      <c r="G16" s="39" t="inlineStr">
        <is>
          <t>N</t>
        </is>
      </c>
      <c r="H16" s="31" t="inlineStr">
        <is>
          <t>Secondary array</t>
        </is>
      </c>
    </row>
    <row r="17" ht="15" customHeight="1" s="27">
      <c r="A17" s="31" t="inlineStr">
        <is>
          <t>waist</t>
        </is>
      </c>
      <c r="B17" s="31" t="inlineStr">
        <is>
          <t>waist</t>
        </is>
      </c>
      <c r="C17" s="31" t="inlineStr">
        <is>
          <t>Lander(s) on Lock Node waist</t>
        </is>
      </c>
      <c r="D17" s="31" t="inlineStr">
        <is>
          <t>Waist</t>
        </is>
      </c>
      <c r="E17" s="39" t="inlineStr">
        <is>
          <t>Y</t>
        </is>
      </c>
      <c r="F17" s="39" t="inlineStr">
        <is>
          <t>Y</t>
        </is>
      </c>
      <c r="G17" s="40" t="inlineStr">
        <is>
          <t>N</t>
        </is>
      </c>
      <c r="H17" s="31" t="inlineStr">
        <is>
          <t>L party 4; M party 6</t>
        </is>
      </c>
    </row>
    <row r="18">
      <c r="A18" s="26" t="inlineStr">
        <is>
          <t>—</t>
        </is>
      </c>
      <c r="B18" s="26" t="inlineStr">
        <is>
          <t>opt</t>
        </is>
      </c>
      <c r="C18" s="26" t="inlineStr">
        <is>
          <t>Reverse-prop RP-1 (aft of Lock Node)</t>
        </is>
      </c>
      <c r="D18" s="26" t="inlineStr">
        <is>
          <t>Optional</t>
        </is>
      </c>
      <c r="E18" s="26" t="inlineStr">
        <is>
          <t>N</t>
        </is>
      </c>
      <c r="F18" s="26" t="inlineStr">
        <is>
          <t>opt</t>
        </is>
      </c>
      <c r="G18" s="26" t="inlineStr">
        <is>
          <t>N</t>
        </is>
      </c>
    </row>
    <row r="19" ht="15" customHeight="1" s="27">
      <c r="A19" s="26" t="inlineStr">
        <is>
          <t>Moon spinning discs</t>
        </is>
      </c>
      <c r="B19" s="41">
        <f>00_Assumptions!B29</f>
        <v/>
      </c>
    </row>
    <row r="20" ht="15" customHeight="1" s="27">
      <c r="A20" s="26" t="inlineStr">
        <is>
          <t>Mars spinning discs</t>
        </is>
      </c>
      <c r="B20" s="41">
        <f>00_Assumptions!B30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40" customWidth="1" style="26" min="2" max="2"/>
    <col width="26" customWidth="1" style="26" min="3" max="3"/>
    <col width="12" customWidth="1" style="26" min="4" max="6"/>
    <col width="16" customWidth="1" style="26" min="7" max="7"/>
    <col width="14" customWidth="1" style="26" min="8" max="8"/>
  </cols>
  <sheetData>
    <row r="1" ht="27.75" customHeight="1" s="27">
      <c r="A1" s="28" t="inlineStr">
        <is>
          <t>Enterprise-L named kit count</t>
        </is>
      </c>
    </row>
    <row r="2" ht="15" customHeight="1" s="27">
      <c r="A2" s="33" t="inlineStr">
        <is>
          <t>Qty total = online + spare. Line mass t = total × unit mass. Yellow = planning inputs. Disc unit masses aligned to ENTERPRISE.md 12–25 t band (outfitted mid).</t>
        </is>
      </c>
    </row>
    <row r="3" ht="15" customHeight="1" s="27">
      <c r="A3" s="29" t="inlineStr">
        <is>
          <t>Kit ID</t>
        </is>
      </c>
      <c r="B3" s="29" t="inlineStr">
        <is>
          <t>Article</t>
        </is>
      </c>
      <c r="C3" s="29" t="inlineStr">
        <is>
          <t>Where</t>
        </is>
      </c>
      <c r="D3" s="29" t="inlineStr">
        <is>
          <t>Qty online</t>
        </is>
      </c>
      <c r="E3" s="29" t="inlineStr">
        <is>
          <t>Qty spare</t>
        </is>
      </c>
      <c r="F3" s="29" t="inlineStr">
        <is>
          <t>Qty total</t>
        </is>
      </c>
      <c r="G3" s="29" t="inlineStr">
        <is>
          <t>Unit mass t</t>
        </is>
      </c>
      <c r="H3" s="29" t="inlineStr">
        <is>
          <t>Line mass t</t>
        </is>
      </c>
    </row>
    <row r="4" ht="15" customHeight="1" s="27">
      <c r="A4" s="31" t="inlineStr">
        <is>
          <t>L-P01</t>
        </is>
      </c>
      <c r="B4" s="31" t="inlineStr">
        <is>
          <t>RLC-10 cassette (hotel online)</t>
        </is>
      </c>
      <c r="C4" s="31" t="inlineStr">
        <is>
          <t>Fore hall</t>
        </is>
      </c>
      <c r="D4" s="42">
        <f>00_Assumptions!B26</f>
        <v/>
      </c>
      <c r="E4" s="34" t="n">
        <v>0</v>
      </c>
      <c r="F4" s="43">
        <f>D4+E4</f>
        <v/>
      </c>
      <c r="G4" s="44" t="n">
        <v>4.5</v>
      </c>
      <c r="H4" s="45">
        <f>F4*G4</f>
        <v/>
      </c>
    </row>
    <row r="5" ht="15" customHeight="1" s="27">
      <c r="A5" s="31" t="inlineStr">
        <is>
          <t>L-P02</t>
        </is>
      </c>
      <c r="B5" s="31" t="inlineStr">
        <is>
          <t>RLC-10 cassette (hotel spare)</t>
        </is>
      </c>
      <c r="C5" s="31" t="inlineStr">
        <is>
          <t>Fore hall / stores</t>
        </is>
      </c>
      <c r="D5" s="43" t="n">
        <v>0</v>
      </c>
      <c r="E5" s="42">
        <f>00_Assumptions!B27</f>
        <v/>
      </c>
      <c r="F5" s="43">
        <f>D5+E5</f>
        <v/>
      </c>
      <c r="G5" s="44" t="n">
        <v>4.5</v>
      </c>
      <c r="H5" s="45">
        <f>F5*G5</f>
        <v/>
      </c>
    </row>
    <row r="6" ht="15" customHeight="1" s="27">
      <c r="A6" s="31" t="inlineStr">
        <is>
          <t>L-P03</t>
        </is>
      </c>
      <c r="B6" s="31" t="inlineStr">
        <is>
          <t>Electric thruster unit</t>
        </is>
      </c>
      <c r="C6" s="31" t="inlineStr">
        <is>
          <t>Fore flanks</t>
        </is>
      </c>
      <c r="D6" s="34" t="n">
        <v>4</v>
      </c>
      <c r="E6" s="34" t="n">
        <v>1</v>
      </c>
      <c r="F6" s="43">
        <f>D6+E6</f>
        <v/>
      </c>
      <c r="G6" s="44" t="n">
        <v>0.4</v>
      </c>
      <c r="H6" s="45">
        <f>F6*G6</f>
        <v/>
      </c>
    </row>
    <row r="7" ht="15" customHeight="1" s="27">
      <c r="A7" s="31" t="inlineStr">
        <is>
          <t>L-P04</t>
        </is>
      </c>
      <c r="B7" s="31" t="inlineStr">
        <is>
          <t>Hybrid assist engine</t>
        </is>
      </c>
      <c r="C7" s="31" t="inlineStr">
        <is>
          <t>Fore flanks</t>
        </is>
      </c>
      <c r="D7" s="34" t="n">
        <v>2</v>
      </c>
      <c r="E7" s="34" t="n">
        <v>0</v>
      </c>
      <c r="F7" s="43">
        <f>D7+E7</f>
        <v/>
      </c>
      <c r="G7" s="44" t="n">
        <v>1.2</v>
      </c>
      <c r="H7" s="45">
        <f>F7*G7</f>
        <v/>
      </c>
    </row>
    <row r="8" ht="15" customHeight="1" s="27">
      <c r="A8" s="31" t="inlineStr">
        <is>
          <t>L-P05</t>
        </is>
      </c>
      <c r="B8" s="31" t="inlineStr">
        <is>
          <t>Assist propellant load (storable)</t>
        </is>
      </c>
      <c r="C8" s="31" t="inlineStr">
        <is>
          <t>Fore tanks</t>
        </is>
      </c>
      <c r="D8" s="34" t="n">
        <v>1</v>
      </c>
      <c r="E8" s="34" t="n">
        <v>0</v>
      </c>
      <c r="F8" s="43">
        <f>D8+E8</f>
        <v/>
      </c>
      <c r="G8" s="44" t="n">
        <v>25</v>
      </c>
      <c r="H8" s="45">
        <f>F8*G8</f>
        <v/>
      </c>
    </row>
    <row r="9" ht="15" customHeight="1" s="27">
      <c r="A9" s="31" t="inlineStr">
        <is>
          <t>L-P06</t>
        </is>
      </c>
      <c r="B9" s="31" t="inlineStr">
        <is>
          <t>Primary comms chain</t>
        </is>
      </c>
      <c r="C9" s="31" t="inlineStr">
        <is>
          <t>Fore stack</t>
        </is>
      </c>
      <c r="D9" s="34" t="n">
        <v>1</v>
      </c>
      <c r="E9" s="34" t="n">
        <v>1</v>
      </c>
      <c r="F9" s="43">
        <f>D9+E9</f>
        <v/>
      </c>
      <c r="G9" s="44" t="n">
        <v>0.3</v>
      </c>
      <c r="H9" s="45">
        <f>F9*G9</f>
        <v/>
      </c>
    </row>
    <row r="10" ht="15" customHeight="1" s="27">
      <c r="A10" s="31" t="inlineStr">
        <is>
          <t>L-P07</t>
        </is>
      </c>
      <c r="B10" s="31" t="inlineStr">
        <is>
          <t>Aft comms chain</t>
        </is>
      </c>
      <c r="C10" s="31" t="inlineStr">
        <is>
          <t>Aft comms disc</t>
        </is>
      </c>
      <c r="D10" s="34" t="n">
        <v>1</v>
      </c>
      <c r="E10" s="34" t="n">
        <v>1</v>
      </c>
      <c r="F10" s="43">
        <f>D10+E10</f>
        <v/>
      </c>
      <c r="G10" s="44" t="n">
        <v>0.25</v>
      </c>
      <c r="H10" s="45">
        <f>F10*G10</f>
        <v/>
      </c>
    </row>
    <row r="11" ht="15" customHeight="1" s="27">
      <c r="A11" s="31" t="inlineStr">
        <is>
          <t>L-D01</t>
        </is>
      </c>
      <c r="B11" s="31" t="inlineStr">
        <is>
          <t>Quarters disc (sleep + storm hub; not first after plant)</t>
        </is>
      </c>
      <c r="C11" s="31" t="inlineStr">
        <is>
          <t>Train</t>
        </is>
      </c>
      <c r="D11" s="34" t="n">
        <v>1</v>
      </c>
      <c r="E11" s="34" t="n">
        <v>0</v>
      </c>
      <c r="F11" s="43">
        <f>D11+E11</f>
        <v/>
      </c>
      <c r="G11" s="44" t="n">
        <v>22</v>
      </c>
      <c r="H11" s="45">
        <f>F11*G11</f>
        <v/>
      </c>
    </row>
    <row r="12" ht="15" customHeight="1" s="27">
      <c r="A12" s="31" t="inlineStr">
        <is>
          <t>L-D02</t>
        </is>
      </c>
      <c r="B12" s="31" t="inlineStr">
        <is>
          <t>Commons disc (first spinning car; acoustic buffer)</t>
        </is>
      </c>
      <c r="C12" s="31" t="inlineStr">
        <is>
          <t>Train</t>
        </is>
      </c>
      <c r="D12" s="34" t="n">
        <v>1</v>
      </c>
      <c r="E12" s="34" t="n">
        <v>0</v>
      </c>
      <c r="F12" s="43">
        <f>D12+E12</f>
        <v/>
      </c>
      <c r="G12" s="44" t="n">
        <v>20</v>
      </c>
      <c r="H12" s="45">
        <f>F12*G12</f>
        <v/>
      </c>
    </row>
    <row r="13" ht="15" customHeight="1" s="27">
      <c r="A13" s="31" t="inlineStr">
        <is>
          <t>L-D03</t>
        </is>
      </c>
      <c r="B13" s="31" t="inlineStr">
        <is>
          <t>Life-support / hydro disc</t>
        </is>
      </c>
      <c r="C13" s="31" t="inlineStr">
        <is>
          <t>Train</t>
        </is>
      </c>
      <c r="D13" s="34" t="n">
        <v>1</v>
      </c>
      <c r="E13" s="34" t="n">
        <v>0</v>
      </c>
      <c r="F13" s="43">
        <f>D13+E13</f>
        <v/>
      </c>
      <c r="G13" s="44" t="n">
        <v>24</v>
      </c>
      <c r="H13" s="45">
        <f>F13*G13</f>
        <v/>
      </c>
    </row>
    <row r="14" ht="15" customHeight="1" s="27">
      <c r="A14" s="31" t="inlineStr">
        <is>
          <t>L-D04</t>
        </is>
      </c>
      <c r="B14" s="31" t="inlineStr">
        <is>
          <t>Medical disc</t>
        </is>
      </c>
      <c r="C14" s="31" t="inlineStr">
        <is>
          <t>Train</t>
        </is>
      </c>
      <c r="D14" s="34" t="n">
        <v>1</v>
      </c>
      <c r="E14" s="34" t="n">
        <v>0</v>
      </c>
      <c r="F14" s="43">
        <f>D14+E14</f>
        <v/>
      </c>
      <c r="G14" s="44" t="n">
        <v>18</v>
      </c>
      <c r="H14" s="45">
        <f>F14*G14</f>
        <v/>
      </c>
    </row>
    <row r="15" ht="15" customHeight="1" s="27">
      <c r="A15" s="31" t="inlineStr">
        <is>
          <t>L-D05</t>
        </is>
      </c>
      <c r="B15" s="31" t="inlineStr">
        <is>
          <t>Stores / shop disc</t>
        </is>
      </c>
      <c r="C15" s="31" t="inlineStr">
        <is>
          <t>Train</t>
        </is>
      </c>
      <c r="D15" s="34" t="n">
        <v>1</v>
      </c>
      <c r="E15" s="34" t="n">
        <v>0</v>
      </c>
      <c r="F15" s="43">
        <f>D15+E15</f>
        <v/>
      </c>
      <c r="G15" s="44" t="n">
        <v>22</v>
      </c>
      <c r="H15" s="45">
        <f>F15*G15</f>
        <v/>
      </c>
    </row>
    <row r="16" ht="15" customHeight="1" s="27">
      <c r="A16" s="31" t="inlineStr">
        <is>
          <t>L-D06</t>
        </is>
      </c>
      <c r="B16" s="31" t="inlineStr">
        <is>
          <t>Survey lab disc</t>
        </is>
      </c>
      <c r="C16" s="31" t="inlineStr">
        <is>
          <t>Train</t>
        </is>
      </c>
      <c r="D16" s="34" t="n">
        <v>1</v>
      </c>
      <c r="E16" s="34" t="n">
        <v>0</v>
      </c>
      <c r="F16" s="43">
        <f>D16+E16</f>
        <v/>
      </c>
      <c r="G16" s="44" t="n">
        <v>16</v>
      </c>
      <c r="H16" s="45">
        <f>F16*G16</f>
        <v/>
      </c>
    </row>
    <row r="17" ht="15" customHeight="1" s="27">
      <c r="A17" s="31" t="inlineStr">
        <is>
          <t>L-N01</t>
        </is>
      </c>
      <c r="B17" s="31" t="inlineStr">
        <is>
          <t>Lock Node (6 IRIS faces; lander waist; no suitport)</t>
        </is>
      </c>
      <c r="C17" s="31" t="inlineStr">
        <is>
          <t>Aft of last spinning disc; landers on waist; RP-1 on aft face optional</t>
        </is>
      </c>
      <c r="D17" s="34" t="n">
        <v>1</v>
      </c>
      <c r="E17" s="34" t="n">
        <v>0</v>
      </c>
      <c r="F17" s="43">
        <f>D17+E17</f>
        <v/>
      </c>
      <c r="G17" s="44" t="n">
        <v>16</v>
      </c>
      <c r="H17" s="45">
        <f>F17*G17</f>
        <v/>
      </c>
    </row>
    <row r="18" ht="15" customHeight="1" s="27">
      <c r="A18" s="31" t="inlineStr">
        <is>
          <t>L-D08</t>
        </is>
      </c>
      <c r="B18" s="31" t="inlineStr">
        <is>
          <t>Drill-prep disc</t>
        </is>
      </c>
      <c r="C18" s="31" t="inlineStr">
        <is>
          <t>Train</t>
        </is>
      </c>
      <c r="D18" s="34" t="n">
        <v>1</v>
      </c>
      <c r="E18" s="34" t="n">
        <v>0</v>
      </c>
      <c r="F18" s="43">
        <f>D18+E18</f>
        <v/>
      </c>
      <c r="G18" s="44" t="n">
        <v>18</v>
      </c>
      <c r="H18" s="45">
        <f>F18*G18</f>
        <v/>
      </c>
    </row>
    <row r="19" ht="15" customHeight="1" s="27">
      <c r="A19" s="31" t="inlineStr">
        <is>
          <t>L-D09</t>
        </is>
      </c>
      <c r="B19" s="31" t="inlineStr">
        <is>
          <t>Aft comms disc structure</t>
        </is>
      </c>
      <c r="C19" s="31" t="inlineStr">
        <is>
          <t>Train</t>
        </is>
      </c>
      <c r="D19" s="34" t="n">
        <v>1</v>
      </c>
      <c r="E19" s="34" t="n">
        <v>0</v>
      </c>
      <c r="F19" s="43">
        <f>D19+E19</f>
        <v/>
      </c>
      <c r="G19" s="44" t="n">
        <v>16</v>
      </c>
      <c r="H19" s="45">
        <f>F19*G19</f>
        <v/>
      </c>
    </row>
    <row r="20" ht="15" customHeight="1" s="27">
      <c r="A20" s="31" t="inlineStr">
        <is>
          <t>L-E01</t>
        </is>
      </c>
      <c r="B20" s="31" t="inlineStr">
        <is>
          <t>Fore stack structure + hall</t>
        </is>
      </c>
      <c r="C20" s="31" t="inlineStr">
        <is>
          <t>Bow</t>
        </is>
      </c>
      <c r="D20" s="34" t="n">
        <v>1</v>
      </c>
      <c r="E20" s="34" t="n">
        <v>0</v>
      </c>
      <c r="F20" s="43">
        <f>D20+E20</f>
        <v/>
      </c>
      <c r="G20" s="44" t="n">
        <v>55</v>
      </c>
      <c r="H20" s="45">
        <f>F20*G20</f>
        <v/>
      </c>
    </row>
    <row r="21" ht="15" customHeight="1" s="27">
      <c r="A21" s="31" t="inlineStr">
        <is>
          <t>L-E02</t>
        </is>
      </c>
      <c r="B21" s="31" t="inlineStr">
        <is>
          <t>Lander-L</t>
        </is>
      </c>
      <c r="C21" s="31" t="inlineStr">
        <is>
          <t>Stern</t>
        </is>
      </c>
      <c r="D21" s="34" t="n">
        <v>1</v>
      </c>
      <c r="E21" s="34" t="n">
        <v>0</v>
      </c>
      <c r="F21" s="43">
        <f>D21+E21</f>
        <v/>
      </c>
      <c r="G21" s="44" t="n">
        <v>18</v>
      </c>
      <c r="H21" s="45">
        <f>F21*G21</f>
        <v/>
      </c>
    </row>
    <row r="22" ht="15" customHeight="1" s="27">
      <c r="A22" s="31" t="inlineStr">
        <is>
          <t>L-C01</t>
        </is>
      </c>
      <c r="B22" s="31" t="inlineStr">
        <is>
          <t>IRIS Stage 0 + flex + tether kit</t>
        </is>
      </c>
      <c r="C22" s="31" t="inlineStr">
        <is>
          <t>Between cars</t>
        </is>
      </c>
      <c r="D22" s="34" t="n">
        <v>10</v>
      </c>
      <c r="E22" s="34" t="n">
        <v>2</v>
      </c>
      <c r="F22" s="43">
        <f>D22+E22</f>
        <v/>
      </c>
      <c r="G22" s="44" t="n">
        <v>1.8</v>
      </c>
      <c r="H22" s="45">
        <f>F22*G22</f>
        <v/>
      </c>
    </row>
    <row r="23" ht="15" customHeight="1" s="27">
      <c r="A23" s="31" t="inlineStr">
        <is>
          <t>L-C02</t>
        </is>
      </c>
      <c r="B23" s="31" t="inlineStr">
        <is>
          <t>Reaction wheel set</t>
        </is>
      </c>
      <c r="C23" s="31" t="inlineStr">
        <is>
          <t>Hubs + fore</t>
        </is>
      </c>
      <c r="D23" s="34" t="n">
        <v>10</v>
      </c>
      <c r="E23" s="34" t="n">
        <v>4</v>
      </c>
      <c r="F23" s="43">
        <f>D23+E23</f>
        <v/>
      </c>
      <c r="G23" s="44" t="n">
        <v>0.15</v>
      </c>
      <c r="H23" s="45">
        <f>F23*G23</f>
        <v/>
      </c>
    </row>
    <row r="24" ht="15" customHeight="1" s="27">
      <c r="A24" s="31" t="inlineStr">
        <is>
          <t>L-C03</t>
        </is>
      </c>
      <c r="B24" s="31" t="inlineStr">
        <is>
          <t>Magnetorquer set</t>
        </is>
      </c>
      <c r="C24" s="31" t="inlineStr">
        <is>
          <t>Hulls + fore</t>
        </is>
      </c>
      <c r="D24" s="34" t="n">
        <v>10</v>
      </c>
      <c r="E24" s="34" t="n">
        <v>2</v>
      </c>
      <c r="F24" s="43">
        <f>D24+E24</f>
        <v/>
      </c>
      <c r="G24" s="44" t="n">
        <v>0.08</v>
      </c>
      <c r="H24" s="45">
        <f>F24*G24</f>
        <v/>
      </c>
    </row>
    <row r="25" ht="15" customHeight="1" s="27">
      <c r="A25" s="31" t="inlineStr">
        <is>
          <t>L-C04</t>
        </is>
      </c>
      <c r="B25" s="31" t="inlineStr">
        <is>
          <t>Spin bearing / motor set (despun hub, turning rim)</t>
        </is>
      </c>
      <c r="C25" s="31" t="inlineStr">
        <is>
          <t>Spinning discs</t>
        </is>
      </c>
      <c r="D25" s="34" t="n">
        <v>8</v>
      </c>
      <c r="E25" s="34" t="n">
        <v>2</v>
      </c>
      <c r="F25" s="43">
        <f>D25+E25</f>
        <v/>
      </c>
      <c r="G25" s="44" t="n">
        <v>0.6</v>
      </c>
      <c r="H25" s="45">
        <f>F25*G25</f>
        <v/>
      </c>
    </row>
    <row r="26" ht="15" customHeight="1" s="27">
      <c r="A26" s="31" t="inlineStr">
        <is>
          <t>L-C05</t>
        </is>
      </c>
      <c r="B26" s="31" t="inlineStr">
        <is>
          <t>Thrust-lock longeron kit</t>
        </is>
      </c>
      <c r="C26" s="31" t="inlineStr">
        <is>
          <t>Burn load path</t>
        </is>
      </c>
      <c r="D26" s="34" t="n">
        <v>2</v>
      </c>
      <c r="E26" s="34" t="n">
        <v>1</v>
      </c>
      <c r="F26" s="43">
        <f>D26+E26</f>
        <v/>
      </c>
      <c r="G26" s="44" t="n">
        <v>2.5</v>
      </c>
      <c r="H26" s="45">
        <f>F26*G26</f>
        <v/>
      </c>
    </row>
    <row r="27" ht="15" customHeight="1" s="27">
      <c r="A27" s="31" t="inlineStr">
        <is>
          <t>L-H01</t>
        </is>
      </c>
      <c r="B27" s="31" t="inlineStr">
        <is>
          <t>Solar-in-skin tile lot</t>
        </is>
      </c>
      <c r="C27" s="31" t="inlineStr">
        <is>
          <t>All cars</t>
        </is>
      </c>
      <c r="D27" s="34" t="n">
        <v>1</v>
      </c>
      <c r="E27" s="34" t="n">
        <v>1</v>
      </c>
      <c r="F27" s="43">
        <f>D27+E27</f>
        <v/>
      </c>
      <c r="G27" s="44" t="n">
        <v>4</v>
      </c>
      <c r="H27" s="45">
        <f>F27*G27</f>
        <v/>
      </c>
    </row>
    <row r="28" ht="15" customHeight="1" s="27">
      <c r="A28" s="31" t="inlineStr">
        <is>
          <t>L-H02</t>
        </is>
      </c>
      <c r="B28" s="31" t="inlineStr">
        <is>
          <t>Ballistic gel (tile + reserve)</t>
        </is>
      </c>
      <c r="C28" s="31" t="inlineStr">
        <is>
          <t>Bumper tiles</t>
        </is>
      </c>
      <c r="D28" s="34" t="n">
        <v>1</v>
      </c>
      <c r="E28" s="34" t="n">
        <v>1</v>
      </c>
      <c r="F28" s="43">
        <f>D28+E28</f>
        <v/>
      </c>
      <c r="G28" s="44" t="n">
        <v>2</v>
      </c>
      <c r="H28" s="45">
        <f>F28*G28</f>
        <v/>
      </c>
    </row>
    <row r="29" ht="15" customHeight="1" s="27">
      <c r="A29" s="31" t="inlineStr">
        <is>
          <t>L-H03</t>
        </is>
      </c>
      <c r="B29" s="31" t="inlineStr">
        <is>
          <t>Bumper / Whipple lot</t>
        </is>
      </c>
      <c r="C29" s="31" t="inlineStr">
        <is>
          <t>All cars</t>
        </is>
      </c>
      <c r="D29" s="34" t="n">
        <v>1</v>
      </c>
      <c r="E29" s="34" t="n">
        <v>0</v>
      </c>
      <c r="F29" s="43">
        <f>D29+E29</f>
        <v/>
      </c>
      <c r="G29" s="44" t="n">
        <v>3</v>
      </c>
      <c r="H29" s="45">
        <f>F29*G29</f>
        <v/>
      </c>
    </row>
    <row r="30" ht="15" customHeight="1" s="27">
      <c r="B30" s="46" t="inlineStr">
        <is>
          <t>LINE MASS SUM (orientation tonnes; RP-1 zero on first L)</t>
        </is>
      </c>
      <c r="H30" s="47">
        <f>SUM(H4:H31)</f>
        <v/>
      </c>
    </row>
    <row r="31">
      <c r="A31" t="inlineStr">
        <is>
          <t>L-RP01</t>
        </is>
      </c>
      <c r="B31" t="inlineStr">
        <is>
          <t>Reverse-prop module RP-1 (optional)</t>
        </is>
      </c>
      <c r="C31" t="inlineStr">
        <is>
          <t>Lock Node aft face</t>
        </is>
      </c>
      <c r="D31" t="n">
        <v>0</v>
      </c>
      <c r="E31" t="n">
        <v>0</v>
      </c>
      <c r="F31">
        <f>D31+E31</f>
        <v/>
      </c>
      <c r="G31" t="n">
        <v>4</v>
      </c>
      <c r="H31">
        <f>F31*G31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40" customWidth="1" style="26" min="2" max="2"/>
    <col width="26" customWidth="1" style="26" min="3" max="3"/>
    <col width="12" customWidth="1" style="26" min="4" max="6"/>
    <col width="16" customWidth="1" style="26" min="7" max="7"/>
    <col width="14" customWidth="1" style="26" min="8" max="8"/>
  </cols>
  <sheetData>
    <row r="1" ht="27.75" customHeight="1" s="27">
      <c r="A1" s="28" t="inlineStr">
        <is>
          <t>Enterprise-M named kit count</t>
        </is>
      </c>
    </row>
    <row r="2" ht="15" customHeight="1" s="27">
      <c r="A2" s="33" t="inlineStr">
        <is>
          <t>Qty total = online + spare. Line mass t = total × unit mass. Yellow = planning inputs. Disc unit masses aligned to ENTERPRISE.md 12–25 t band (outfitted mid).</t>
        </is>
      </c>
    </row>
    <row r="3" ht="15" customHeight="1" s="27">
      <c r="A3" s="29" t="inlineStr">
        <is>
          <t>Kit ID</t>
        </is>
      </c>
      <c r="B3" s="29" t="inlineStr">
        <is>
          <t>Article</t>
        </is>
      </c>
      <c r="C3" s="29" t="inlineStr">
        <is>
          <t>Where</t>
        </is>
      </c>
      <c r="D3" s="29" t="inlineStr">
        <is>
          <t>Qty online</t>
        </is>
      </c>
      <c r="E3" s="29" t="inlineStr">
        <is>
          <t>Qty spare</t>
        </is>
      </c>
      <c r="F3" s="29" t="inlineStr">
        <is>
          <t>Qty total</t>
        </is>
      </c>
      <c r="G3" s="29" t="inlineStr">
        <is>
          <t>Unit mass t</t>
        </is>
      </c>
      <c r="H3" s="29" t="inlineStr">
        <is>
          <t>Line mass t</t>
        </is>
      </c>
    </row>
    <row r="4" ht="15" customHeight="1" s="27">
      <c r="A4" s="31" t="inlineStr">
        <is>
          <t>M-P01</t>
        </is>
      </c>
      <c r="B4" s="31" t="inlineStr">
        <is>
          <t>RLC-10 cassette (hotel online)</t>
        </is>
      </c>
      <c r="C4" s="31" t="inlineStr">
        <is>
          <t>Fore hall</t>
        </is>
      </c>
      <c r="D4" s="42">
        <f>00_Assumptions!B26</f>
        <v/>
      </c>
      <c r="E4" s="34" t="n">
        <v>0</v>
      </c>
      <c r="F4" s="43">
        <f>D4+E4</f>
        <v/>
      </c>
      <c r="G4" s="44" t="n">
        <v>4.5</v>
      </c>
      <c r="H4" s="45">
        <f>F4*G4</f>
        <v/>
      </c>
    </row>
    <row r="5" ht="15" customHeight="1" s="27">
      <c r="A5" s="31" t="inlineStr">
        <is>
          <t>M-P02</t>
        </is>
      </c>
      <c r="B5" s="31" t="inlineStr">
        <is>
          <t>RLC-10 cassette (hotel spare)</t>
        </is>
      </c>
      <c r="C5" s="31" t="inlineStr">
        <is>
          <t>Fore / long-stores</t>
        </is>
      </c>
      <c r="D5" s="43" t="n">
        <v>0</v>
      </c>
      <c r="E5" s="42">
        <f>00_Assumptions!B27</f>
        <v/>
      </c>
      <c r="F5" s="43">
        <f>D5+E5</f>
        <v/>
      </c>
      <c r="G5" s="44" t="n">
        <v>4.5</v>
      </c>
      <c r="H5" s="45">
        <f>F5*G5</f>
        <v/>
      </c>
    </row>
    <row r="6" ht="15" customHeight="1" s="27">
      <c r="A6" s="31" t="inlineStr">
        <is>
          <t>M-P03</t>
        </is>
      </c>
      <c r="B6" s="31" t="inlineStr">
        <is>
          <t>Electric thruster unit</t>
        </is>
      </c>
      <c r="C6" s="31" t="inlineStr">
        <is>
          <t>Fore flanks</t>
        </is>
      </c>
      <c r="D6" s="34" t="n">
        <v>4</v>
      </c>
      <c r="E6" s="34" t="n">
        <v>2</v>
      </c>
      <c r="F6" s="43">
        <f>D6+E6</f>
        <v/>
      </c>
      <c r="G6" s="44" t="n">
        <v>0.4</v>
      </c>
      <c r="H6" s="45">
        <f>F6*G6</f>
        <v/>
      </c>
    </row>
    <row r="7" ht="15" customHeight="1" s="27">
      <c r="A7" s="31" t="inlineStr">
        <is>
          <t>M-P04</t>
        </is>
      </c>
      <c r="B7" s="31" t="inlineStr">
        <is>
          <t>Hybrid assist engine</t>
        </is>
      </c>
      <c r="C7" s="31" t="inlineStr">
        <is>
          <t>Fore flanks</t>
        </is>
      </c>
      <c r="D7" s="34" t="n">
        <v>2</v>
      </c>
      <c r="E7" s="34" t="n">
        <v>1</v>
      </c>
      <c r="F7" s="43">
        <f>D7+E7</f>
        <v/>
      </c>
      <c r="G7" s="44" t="n">
        <v>1.2</v>
      </c>
      <c r="H7" s="45">
        <f>F7*G7</f>
        <v/>
      </c>
    </row>
    <row r="8" ht="15" customHeight="1" s="27">
      <c r="A8" s="31" t="inlineStr">
        <is>
          <t>M-P05</t>
        </is>
      </c>
      <c r="B8" s="31" t="inlineStr">
        <is>
          <t>Assist propellant load (storable)</t>
        </is>
      </c>
      <c r="C8" s="31" t="inlineStr">
        <is>
          <t>Fore tanks</t>
        </is>
      </c>
      <c r="D8" s="34" t="n">
        <v>1</v>
      </c>
      <c r="E8" s="34" t="n">
        <v>0</v>
      </c>
      <c r="F8" s="43">
        <f>D8+E8</f>
        <v/>
      </c>
      <c r="G8" s="44" t="n">
        <v>80</v>
      </c>
      <c r="H8" s="45">
        <f>F8*G8</f>
        <v/>
      </c>
    </row>
    <row r="9" ht="15" customHeight="1" s="27">
      <c r="A9" s="31" t="inlineStr">
        <is>
          <t>M-P06</t>
        </is>
      </c>
      <c r="B9" s="31" t="inlineStr">
        <is>
          <t>Primary comms chain</t>
        </is>
      </c>
      <c r="C9" s="31" t="inlineStr">
        <is>
          <t>Fore stack</t>
        </is>
      </c>
      <c r="D9" s="34" t="n">
        <v>1</v>
      </c>
      <c r="E9" s="34" t="n">
        <v>1</v>
      </c>
      <c r="F9" s="43">
        <f>D9+E9</f>
        <v/>
      </c>
      <c r="G9" s="44" t="n">
        <v>0.3</v>
      </c>
      <c r="H9" s="45">
        <f>F9*G9</f>
        <v/>
      </c>
    </row>
    <row r="10" ht="15" customHeight="1" s="27">
      <c r="A10" s="31" t="inlineStr">
        <is>
          <t>M-P07</t>
        </is>
      </c>
      <c r="B10" s="31" t="inlineStr">
        <is>
          <t>Aft comms chain</t>
        </is>
      </c>
      <c r="C10" s="31" t="inlineStr">
        <is>
          <t>Aft comms disc</t>
        </is>
      </c>
      <c r="D10" s="34" t="n">
        <v>1</v>
      </c>
      <c r="E10" s="34" t="n">
        <v>1</v>
      </c>
      <c r="F10" s="43">
        <f>D10+E10</f>
        <v/>
      </c>
      <c r="G10" s="44" t="n">
        <v>0.25</v>
      </c>
      <c r="H10" s="45">
        <f>F10*G10</f>
        <v/>
      </c>
    </row>
    <row r="11" ht="15" customHeight="1" s="27">
      <c r="A11" s="31" t="inlineStr">
        <is>
          <t>M-D01</t>
        </is>
      </c>
      <c r="B11" s="31" t="inlineStr">
        <is>
          <t>Quarters disc + hub shelter (not first after plant)</t>
        </is>
      </c>
      <c r="C11" s="31" t="inlineStr">
        <is>
          <t>Train</t>
        </is>
      </c>
      <c r="D11" s="34" t="n">
        <v>1</v>
      </c>
      <c r="E11" s="34" t="n">
        <v>0</v>
      </c>
      <c r="F11" s="43">
        <f>D11+E11</f>
        <v/>
      </c>
      <c r="G11" s="44" t="n">
        <v>24</v>
      </c>
      <c r="H11" s="45">
        <f>F11*G11</f>
        <v/>
      </c>
    </row>
    <row r="12" ht="15" customHeight="1" s="27">
      <c r="A12" s="31" t="inlineStr">
        <is>
          <t>M-D02</t>
        </is>
      </c>
      <c r="B12" s="31" t="inlineStr">
        <is>
          <t>Commons disc (first spinning car; acoustic buffer)</t>
        </is>
      </c>
      <c r="C12" s="31" t="inlineStr">
        <is>
          <t>Train</t>
        </is>
      </c>
      <c r="D12" s="34" t="n">
        <v>1</v>
      </c>
      <c r="E12" s="34" t="n">
        <v>0</v>
      </c>
      <c r="F12" s="43">
        <f>D12+E12</f>
        <v/>
      </c>
      <c r="G12" s="44" t="n">
        <v>20</v>
      </c>
      <c r="H12" s="45">
        <f>F12*G12</f>
        <v/>
      </c>
    </row>
    <row r="13" ht="15" customHeight="1" s="27">
      <c r="A13" s="31" t="inlineStr">
        <is>
          <t>M-D03</t>
        </is>
      </c>
      <c r="B13" s="31" t="inlineStr">
        <is>
          <t>Life-support / hydro disc</t>
        </is>
      </c>
      <c r="C13" s="31" t="inlineStr">
        <is>
          <t>Train</t>
        </is>
      </c>
      <c r="D13" s="34" t="n">
        <v>1</v>
      </c>
      <c r="E13" s="34" t="n">
        <v>0</v>
      </c>
      <c r="F13" s="43">
        <f>D13+E13</f>
        <v/>
      </c>
      <c r="G13" s="44" t="n">
        <v>24</v>
      </c>
      <c r="H13" s="45">
        <f>F13*G13</f>
        <v/>
      </c>
    </row>
    <row r="14" ht="15" customHeight="1" s="27">
      <c r="A14" s="31" t="inlineStr">
        <is>
          <t>M-D04</t>
        </is>
      </c>
      <c r="B14" s="31" t="inlineStr">
        <is>
          <t>Hydro-2 / food-buffer disc</t>
        </is>
      </c>
      <c r="C14" s="31" t="inlineStr">
        <is>
          <t>Train</t>
        </is>
      </c>
      <c r="D14" s="34" t="n">
        <v>1</v>
      </c>
      <c r="E14" s="34" t="n">
        <v>0</v>
      </c>
      <c r="F14" s="43">
        <f>D14+E14</f>
        <v/>
      </c>
      <c r="G14" s="44" t="n">
        <v>24</v>
      </c>
      <c r="H14" s="45">
        <f>F14*G14</f>
        <v/>
      </c>
    </row>
    <row r="15" ht="15" customHeight="1" s="27">
      <c r="A15" s="31" t="inlineStr">
        <is>
          <t>M-D05</t>
        </is>
      </c>
      <c r="B15" s="31" t="inlineStr">
        <is>
          <t>Medical disc</t>
        </is>
      </c>
      <c r="C15" s="31" t="inlineStr">
        <is>
          <t>Train</t>
        </is>
      </c>
      <c r="D15" s="34" t="n">
        <v>1</v>
      </c>
      <c r="E15" s="34" t="n">
        <v>0</v>
      </c>
      <c r="F15" s="43">
        <f>D15+E15</f>
        <v/>
      </c>
      <c r="G15" s="44" t="n">
        <v>18</v>
      </c>
      <c r="H15" s="45">
        <f>F15*G15</f>
        <v/>
      </c>
    </row>
    <row r="16" ht="15" customHeight="1" s="27">
      <c r="A16" s="31" t="inlineStr">
        <is>
          <t>M-D06</t>
        </is>
      </c>
      <c r="B16" s="31" t="inlineStr">
        <is>
          <t>Stores / shop disc</t>
        </is>
      </c>
      <c r="C16" s="31" t="inlineStr">
        <is>
          <t>Train</t>
        </is>
      </c>
      <c r="D16" s="34" t="n">
        <v>1</v>
      </c>
      <c r="E16" s="34" t="n">
        <v>0</v>
      </c>
      <c r="F16" s="43">
        <f>D16+E16</f>
        <v/>
      </c>
      <c r="G16" s="44" t="n">
        <v>22</v>
      </c>
      <c r="H16" s="45">
        <f>F16*G16</f>
        <v/>
      </c>
    </row>
    <row r="17" ht="15" customHeight="1" s="27">
      <c r="A17" s="31" t="inlineStr">
        <is>
          <t>M-D07</t>
        </is>
      </c>
      <c r="B17" s="31" t="inlineStr">
        <is>
          <t>Long-stores disc</t>
        </is>
      </c>
      <c r="C17" s="31" t="inlineStr">
        <is>
          <t>Train</t>
        </is>
      </c>
      <c r="D17" s="34" t="n">
        <v>1</v>
      </c>
      <c r="E17" s="34" t="n">
        <v>0</v>
      </c>
      <c r="F17" s="43">
        <f>D17+E17</f>
        <v/>
      </c>
      <c r="G17" s="44" t="n">
        <v>25</v>
      </c>
      <c r="H17" s="45">
        <f>F17*G17</f>
        <v/>
      </c>
    </row>
    <row r="18" ht="15" customHeight="1" s="27">
      <c r="A18" s="31" t="inlineStr">
        <is>
          <t>M-D08</t>
        </is>
      </c>
      <c r="B18" s="31" t="inlineStr">
        <is>
          <t>Surface-ops lab disc</t>
        </is>
      </c>
      <c r="C18" s="31" t="inlineStr">
        <is>
          <t>Train</t>
        </is>
      </c>
      <c r="D18" s="34" t="n">
        <v>1</v>
      </c>
      <c r="E18" s="34" t="n">
        <v>0</v>
      </c>
      <c r="F18" s="43">
        <f>D18+E18</f>
        <v/>
      </c>
      <c r="G18" s="44" t="n">
        <v>18</v>
      </c>
      <c r="H18" s="45">
        <f>F18*G18</f>
        <v/>
      </c>
    </row>
    <row r="19" ht="15" customHeight="1" s="27">
      <c r="A19" s="31" t="inlineStr">
        <is>
          <t>M-D09</t>
        </is>
      </c>
      <c r="B19" s="31" t="inlineStr">
        <is>
          <t>Aft comms disc structure</t>
        </is>
      </c>
      <c r="C19" s="31" t="inlineStr">
        <is>
          <t>Train</t>
        </is>
      </c>
      <c r="D19" s="34" t="n">
        <v>1</v>
      </c>
      <c r="E19" s="34" t="n">
        <v>0</v>
      </c>
      <c r="F19" s="43">
        <f>D19+E19</f>
        <v/>
      </c>
      <c r="G19" s="44" t="n">
        <v>16</v>
      </c>
      <c r="H19" s="45">
        <f>F19*G19</f>
        <v/>
      </c>
    </row>
    <row r="20" ht="15" customHeight="1" s="27">
      <c r="A20" s="31" t="inlineStr">
        <is>
          <t>M-E01</t>
        </is>
      </c>
      <c r="B20" s="31" t="inlineStr">
        <is>
          <t>Fore stack structure + hall</t>
        </is>
      </c>
      <c r="C20" s="31" t="inlineStr">
        <is>
          <t>Bow</t>
        </is>
      </c>
      <c r="D20" s="34" t="n">
        <v>1</v>
      </c>
      <c r="E20" s="34" t="n">
        <v>0</v>
      </c>
      <c r="F20" s="43">
        <f>D20+E20</f>
        <v/>
      </c>
      <c r="G20" s="44" t="n">
        <v>70</v>
      </c>
      <c r="H20" s="45">
        <f>F20*G20</f>
        <v/>
      </c>
    </row>
    <row r="21" ht="15" customHeight="1" s="27">
      <c r="A21" s="31" t="inlineStr">
        <is>
          <t>M-E02</t>
        </is>
      </c>
      <c r="B21" s="31" t="inlineStr">
        <is>
          <t>Lander-M</t>
        </is>
      </c>
      <c r="C21" s="31" t="inlineStr">
        <is>
          <t>Stern</t>
        </is>
      </c>
      <c r="D21" s="34" t="n">
        <v>1</v>
      </c>
      <c r="E21" s="34" t="n">
        <v>0</v>
      </c>
      <c r="F21" s="43">
        <f>D21+E21</f>
        <v/>
      </c>
      <c r="G21" s="44" t="n">
        <v>35</v>
      </c>
      <c r="H21" s="45">
        <f>F21*G21</f>
        <v/>
      </c>
    </row>
    <row r="22" ht="15" customHeight="1" s="27">
      <c r="A22" s="31" t="inlineStr">
        <is>
          <t>M-C01</t>
        </is>
      </c>
      <c r="B22" s="31" t="inlineStr">
        <is>
          <t>IRIS Stage 0 + flex + tether kit</t>
        </is>
      </c>
      <c r="C22" s="31" t="inlineStr">
        <is>
          <t>Between cars</t>
        </is>
      </c>
      <c r="D22" s="34" t="n">
        <v>10</v>
      </c>
      <c r="E22" s="34" t="n">
        <v>2</v>
      </c>
      <c r="F22" s="43">
        <f>D22+E22</f>
        <v/>
      </c>
      <c r="G22" s="44" t="n">
        <v>1.8</v>
      </c>
      <c r="H22" s="45">
        <f>F22*G22</f>
        <v/>
      </c>
    </row>
    <row r="23" ht="15" customHeight="1" s="27">
      <c r="A23" s="31" t="inlineStr">
        <is>
          <t>M-C02</t>
        </is>
      </c>
      <c r="B23" s="31" t="inlineStr">
        <is>
          <t>Reaction wheel set</t>
        </is>
      </c>
      <c r="C23" s="31" t="inlineStr">
        <is>
          <t>Hubs + fore</t>
        </is>
      </c>
      <c r="D23" s="34" t="n">
        <v>10</v>
      </c>
      <c r="E23" s="34" t="n">
        <v>6</v>
      </c>
      <c r="F23" s="43">
        <f>D23+E23</f>
        <v/>
      </c>
      <c r="G23" s="44" t="n">
        <v>0.15</v>
      </c>
      <c r="H23" s="45">
        <f>F23*G23</f>
        <v/>
      </c>
    </row>
    <row r="24" ht="15" customHeight="1" s="27">
      <c r="A24" s="31" t="inlineStr">
        <is>
          <t>M-C03</t>
        </is>
      </c>
      <c r="B24" s="31" t="inlineStr">
        <is>
          <t>Magnetorquer set</t>
        </is>
      </c>
      <c r="C24" s="31" t="inlineStr">
        <is>
          <t>Hulls + fore</t>
        </is>
      </c>
      <c r="D24" s="34" t="n">
        <v>10</v>
      </c>
      <c r="E24" s="34" t="n">
        <v>2</v>
      </c>
      <c r="F24" s="43">
        <f>D24+E24</f>
        <v/>
      </c>
      <c r="G24" s="44" t="n">
        <v>0.08</v>
      </c>
      <c r="H24" s="45">
        <f>F24*G24</f>
        <v/>
      </c>
    </row>
    <row r="25" ht="15" customHeight="1" s="27">
      <c r="A25" s="31" t="inlineStr">
        <is>
          <t>M-C04</t>
        </is>
      </c>
      <c r="B25" s="31" t="inlineStr">
        <is>
          <t>Spin bearing / motor set (despun hub, turning rim)</t>
        </is>
      </c>
      <c r="C25" s="31" t="inlineStr">
        <is>
          <t>Spinning discs</t>
        </is>
      </c>
      <c r="D25" s="34" t="n">
        <v>9</v>
      </c>
      <c r="E25" s="34" t="n">
        <v>3</v>
      </c>
      <c r="F25" s="43">
        <f>D25+E25</f>
        <v/>
      </c>
      <c r="G25" s="44" t="n">
        <v>0.6</v>
      </c>
      <c r="H25" s="45">
        <f>F25*G25</f>
        <v/>
      </c>
    </row>
    <row r="26" ht="15" customHeight="1" s="27">
      <c r="A26" s="31" t="inlineStr">
        <is>
          <t>M-C05</t>
        </is>
      </c>
      <c r="B26" s="31" t="inlineStr">
        <is>
          <t>Thrust-lock longeron kit</t>
        </is>
      </c>
      <c r="C26" s="31" t="inlineStr">
        <is>
          <t>Burn load path</t>
        </is>
      </c>
      <c r="D26" s="34" t="n">
        <v>3</v>
      </c>
      <c r="E26" s="34" t="n">
        <v>1</v>
      </c>
      <c r="F26" s="43">
        <f>D26+E26</f>
        <v/>
      </c>
      <c r="G26" s="44" t="n">
        <v>2.5</v>
      </c>
      <c r="H26" s="45">
        <f>F26*G26</f>
        <v/>
      </c>
    </row>
    <row r="27" ht="15" customHeight="1" s="27">
      <c r="A27" s="31" t="inlineStr">
        <is>
          <t>M-H01</t>
        </is>
      </c>
      <c r="B27" s="31" t="inlineStr">
        <is>
          <t>Solar-in-skin tile lot</t>
        </is>
      </c>
      <c r="C27" s="31" t="inlineStr">
        <is>
          <t>All cars</t>
        </is>
      </c>
      <c r="D27" s="34" t="n">
        <v>1</v>
      </c>
      <c r="E27" s="34" t="n">
        <v>1</v>
      </c>
      <c r="F27" s="43">
        <f>D27+E27</f>
        <v/>
      </c>
      <c r="G27" s="44" t="n">
        <v>5</v>
      </c>
      <c r="H27" s="45">
        <f>F27*G27</f>
        <v/>
      </c>
    </row>
    <row r="28" ht="15" customHeight="1" s="27">
      <c r="A28" s="31" t="inlineStr">
        <is>
          <t>M-H02</t>
        </is>
      </c>
      <c r="B28" s="31" t="inlineStr">
        <is>
          <t>Ballistic gel (tile + reserve)</t>
        </is>
      </c>
      <c r="C28" s="31" t="inlineStr">
        <is>
          <t>Bumper tiles</t>
        </is>
      </c>
      <c r="D28" s="34" t="n">
        <v>1</v>
      </c>
      <c r="E28" s="34" t="n">
        <v>1</v>
      </c>
      <c r="F28" s="43">
        <f>D28+E28</f>
        <v/>
      </c>
      <c r="G28" s="44" t="n">
        <v>3</v>
      </c>
      <c r="H28" s="45">
        <f>F28*G28</f>
        <v/>
      </c>
    </row>
    <row r="29" ht="15" customHeight="1" s="27">
      <c r="A29" s="31" t="inlineStr">
        <is>
          <t>M-H03</t>
        </is>
      </c>
      <c r="B29" s="31" t="inlineStr">
        <is>
          <t>Bumper / Whipple lot</t>
        </is>
      </c>
      <c r="C29" s="31" t="inlineStr">
        <is>
          <t>All cars</t>
        </is>
      </c>
      <c r="D29" s="34" t="n">
        <v>1</v>
      </c>
      <c r="E29" s="34" t="n">
        <v>0</v>
      </c>
      <c r="F29" s="43">
        <f>D29+E29</f>
        <v/>
      </c>
      <c r="G29" s="44" t="n">
        <v>4</v>
      </c>
      <c r="H29" s="45">
        <f>F29*G29</f>
        <v/>
      </c>
    </row>
    <row r="30" ht="15" customHeight="1" s="27">
      <c r="B30" s="46" t="inlineStr">
        <is>
          <t>LINE MASS SUM (orientation tonnes; includes Lock Node; RP-1 zero until flown)</t>
        </is>
      </c>
      <c r="H30" s="47">
        <f>SUM(H4:H32)</f>
        <v/>
      </c>
    </row>
    <row r="31">
      <c r="A31" s="26" t="inlineStr">
        <is>
          <t>M-N01</t>
        </is>
      </c>
      <c r="B31" s="26" t="inlineStr">
        <is>
          <t>Lock Node (6 IRIS faces; lander waist; no suitport)</t>
        </is>
      </c>
      <c r="C31" s="26" t="inlineStr">
        <is>
          <t>Aft of last spinning disc; landers on waist; RP-1 on aft face optional</t>
        </is>
      </c>
      <c r="D31" s="26" t="n">
        <v>1</v>
      </c>
      <c r="E31" s="26" t="n">
        <v>0</v>
      </c>
      <c r="F31" s="26">
        <f>D31+E31</f>
        <v/>
      </c>
      <c r="G31" s="26" t="n">
        <v>16</v>
      </c>
      <c r="H31" s="26">
        <f>F31*G31</f>
        <v/>
      </c>
    </row>
    <row r="32">
      <c r="A32" t="inlineStr">
        <is>
          <t>M-RP01</t>
        </is>
      </c>
      <c r="B32" t="inlineStr">
        <is>
          <t>Reverse-prop module RP-1 (optional)</t>
        </is>
      </c>
      <c r="C32" t="inlineStr">
        <is>
          <t>Lock Node aft face</t>
        </is>
      </c>
      <c r="D32" t="n">
        <v>0</v>
      </c>
      <c r="E32" t="n">
        <v>0</v>
      </c>
      <c r="F32">
        <f>D32+E32</f>
        <v/>
      </c>
      <c r="G32" t="n">
        <v>4</v>
      </c>
      <c r="H32">
        <f>F32*G32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6" min="1" max="1"/>
    <col width="12" customWidth="1" style="26" min="2" max="2"/>
    <col width="10" customWidth="1" style="26" min="3" max="3"/>
    <col width="12" customWidth="1" style="26" min="4" max="4"/>
    <col width="10" customWidth="1" style="26" min="5" max="5"/>
    <col width="18" customWidth="1" style="26" min="6" max="6"/>
    <col width="28" customWidth="1" style="26" min="7" max="7"/>
  </cols>
  <sheetData>
    <row r="1" ht="27.75" customHeight="1" s="27">
      <c r="A1" s="28" t="inlineStr">
        <is>
          <t>Stores manifest — 12 crew</t>
        </is>
      </c>
    </row>
    <row r="2" ht="15" customHeight="1" s="27">
      <c r="A2" s="33" t="inlineStr">
        <is>
          <t>Food pulls from 00_Assumptions. Other rows are orientation planning loads (yellow).</t>
        </is>
      </c>
    </row>
    <row r="3" ht="15" customHeight="1" s="27">
      <c r="A3" s="29" t="inlineStr">
        <is>
          <t>Class</t>
        </is>
      </c>
      <c r="B3" s="29" t="inlineStr">
        <is>
          <t>L qty</t>
        </is>
      </c>
      <c r="C3" s="29" t="inlineStr">
        <is>
          <t>L unit</t>
        </is>
      </c>
      <c r="D3" s="29" t="inlineStr">
        <is>
          <t>M qty</t>
        </is>
      </c>
      <c r="E3" s="29" t="inlineStr">
        <is>
          <t>M unit</t>
        </is>
      </c>
      <c r="F3" s="29" t="inlineStr">
        <is>
          <t>Driver</t>
        </is>
      </c>
      <c r="G3" s="29" t="inlineStr">
        <is>
          <t>Note</t>
        </is>
      </c>
    </row>
    <row r="4" ht="15" customHeight="1" s="27">
      <c r="A4" s="31" t="inlineStr">
        <is>
          <t>Food, packed</t>
        </is>
      </c>
      <c r="B4" s="36">
        <f>00_Assumptions!B33/1000</f>
        <v/>
      </c>
      <c r="C4" s="31" t="inlineStr">
        <is>
          <t>t</t>
        </is>
      </c>
      <c r="D4" s="36">
        <f>00_Assumptions!B34/1000</f>
        <v/>
      </c>
      <c r="E4" s="31" t="inlineStr">
        <is>
          <t>t</t>
        </is>
      </c>
      <c r="F4" s="31" t="inlineStr">
        <is>
          <t>Person-days</t>
        </is>
      </c>
      <c r="G4" s="31" t="inlineStr">
        <is>
          <t>Transit/train only</t>
        </is>
      </c>
    </row>
    <row r="5" ht="15" customHeight="1" s="27">
      <c r="A5" s="31" t="inlineStr">
        <is>
          <t>Water makeup</t>
        </is>
      </c>
      <c r="B5" s="44" t="n">
        <v>0.4</v>
      </c>
      <c r="C5" s="31" t="inlineStr">
        <is>
          <t>t</t>
        </is>
      </c>
      <c r="D5" s="44" t="n">
        <v>3.5</v>
      </c>
      <c r="E5" s="31" t="inlineStr">
        <is>
          <t>t</t>
        </is>
      </c>
      <c r="F5" s="31" t="inlineStr">
        <is>
          <t>Recycle + leak</t>
        </is>
      </c>
      <c r="G5" s="31" t="inlineStr">
        <is>
          <t>Primary loop is recycle</t>
        </is>
      </c>
    </row>
    <row r="6" ht="15" customHeight="1" s="27">
      <c r="A6" s="31" t="inlineStr">
        <is>
          <t>N2 / O2 reserve</t>
        </is>
      </c>
      <c r="B6" s="44" t="n">
        <v>0.3</v>
      </c>
      <c r="C6" s="31" t="inlineStr">
        <is>
          <t>t</t>
        </is>
      </c>
      <c r="D6" s="44" t="n">
        <v>1.2</v>
      </c>
      <c r="E6" s="31" t="inlineStr">
        <is>
          <t>t</t>
        </is>
      </c>
      <c r="F6" s="31" t="inlineStr">
        <is>
          <t>Isolate events</t>
        </is>
      </c>
      <c r="G6" s="31" t="inlineStr">
        <is>
          <t>Per-disc isolation</t>
        </is>
      </c>
    </row>
    <row r="7" ht="15" customHeight="1" s="27">
      <c r="A7" s="31" t="inlineStr">
        <is>
          <t>Medical consumables</t>
        </is>
      </c>
      <c r="B7" s="44" t="n">
        <v>0.15</v>
      </c>
      <c r="C7" s="31" t="inlineStr">
        <is>
          <t>t</t>
        </is>
      </c>
      <c r="D7" s="44" t="n">
        <v>0.6</v>
      </c>
      <c r="E7" s="31" t="inlineStr">
        <is>
          <t>t</t>
        </is>
      </c>
      <c r="F7" s="31" t="inlineStr">
        <is>
          <t>12 people × days</t>
        </is>
      </c>
      <c r="G7" s="31" t="inlineStr">
        <is>
          <t>Includes quarantine</t>
        </is>
      </c>
    </row>
    <row r="8" ht="15" customHeight="1" s="27">
      <c r="A8" s="31" t="inlineStr">
        <is>
          <t>EVA wear</t>
        </is>
      </c>
      <c r="B8" s="44" t="n">
        <v>0.8</v>
      </c>
      <c r="C8" s="31" t="inlineStr">
        <is>
          <t>t</t>
        </is>
      </c>
      <c r="D8" s="44" t="n">
        <v>0.4</v>
      </c>
      <c r="E8" s="31" t="inlineStr">
        <is>
          <t>t</t>
        </is>
      </c>
      <c r="F8" s="31" t="inlineStr">
        <is>
          <t>Moon-heavy</t>
        </is>
      </c>
      <c r="G8" s="31" t="inlineStr">
        <is>
          <t>Lock Node on L and M; no suitport</t>
        </is>
      </c>
    </row>
    <row r="9" ht="15" customHeight="1" s="27">
      <c r="A9" s="31" t="inlineStr">
        <is>
          <t>Gel inject reserve</t>
        </is>
      </c>
      <c r="B9" s="44" t="n">
        <v>0.5</v>
      </c>
      <c r="C9" s="31" t="inlineStr">
        <is>
          <t>t</t>
        </is>
      </c>
      <c r="D9" s="44" t="n">
        <v>1</v>
      </c>
      <c r="E9" s="31" t="inlineStr">
        <is>
          <t>t</t>
        </is>
      </c>
      <c r="F9" s="31" t="inlineStr">
        <is>
          <t>Hits + top-up</t>
        </is>
      </c>
      <c r="G9" s="31" t="inlineStr">
        <is>
          <t>SDS in E0</t>
        </is>
      </c>
    </row>
    <row r="10" ht="15" customHeight="1" s="27">
      <c r="A10" s="31" t="inlineStr">
        <is>
          <t>Life-support filters / resin</t>
        </is>
      </c>
      <c r="B10" s="44" t="n">
        <v>0.2</v>
      </c>
      <c r="C10" s="31" t="inlineStr">
        <is>
          <t>t</t>
        </is>
      </c>
      <c r="D10" s="44" t="n">
        <v>0.8</v>
      </c>
      <c r="E10" s="31" t="inlineStr">
        <is>
          <t>t</t>
        </is>
      </c>
      <c r="F10" s="31" t="inlineStr">
        <is>
          <t>Days</t>
        </is>
      </c>
      <c r="G10" s="31" t="inlineStr">
        <is>
          <t>Wet discs</t>
        </is>
      </c>
    </row>
    <row r="11" ht="15" customHeight="1" s="27">
      <c r="A11" s="31" t="inlineStr">
        <is>
          <t>Lander window consumables</t>
        </is>
      </c>
      <c r="B11" s="44" t="n">
        <v>0.4</v>
      </c>
      <c r="C11" s="31" t="inlineStr">
        <is>
          <t>t</t>
        </is>
      </c>
      <c r="D11" s="44" t="n">
        <v>1.5</v>
      </c>
      <c r="E11" s="31" t="inlineStr">
        <is>
          <t>t</t>
        </is>
      </c>
      <c r="F11" s="31" t="inlineStr">
        <is>
          <t>Party × window</t>
        </is>
      </c>
      <c r="G11" s="31" t="inlineStr">
        <is>
          <t>Separate traveler</t>
        </is>
      </c>
    </row>
    <row r="12">
      <c r="A12" s="26" t="inlineStr">
        <is>
          <t>Stabilized solids / trash</t>
        </is>
      </c>
      <c r="B12" s="26" t="n">
        <v>0.07000000000000001</v>
      </c>
      <c r="C12" s="26" t="inlineStr">
        <is>
          <t>t</t>
        </is>
      </c>
      <c r="D12" s="26" t="n">
        <v>0.65</v>
      </c>
      <c r="E12" s="26" t="inlineStr">
        <is>
          <t>t</t>
        </is>
      </c>
      <c r="F12" s="26" t="inlineStr">
        <is>
          <t>0.12 kg/person-day class</t>
        </is>
      </c>
      <c r="G12" s="26" t="inlineStr">
        <is>
          <t>Store dry. Not next to O2.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2" customWidth="1" style="26" min="2" max="2"/>
    <col width="44" customWidth="1" style="26" min="3" max="3"/>
    <col width="8" customWidth="1" style="26" min="4" max="4"/>
    <col width="52" customWidth="1" style="26" min="5" max="5"/>
    <col width="32" customWidth="1" style="26" min="6" max="6"/>
  </cols>
  <sheetData>
    <row r="1" ht="27.75" customHeight="1" s="27">
      <c r="A1" s="28" t="inlineStr">
        <is>
          <t>Feasibility and rectification</t>
        </is>
      </c>
    </row>
    <row r="2" ht="15" customHeight="1" s="27">
      <c r="A2" s="33" t="inlineStr">
        <is>
          <t>S0=show-stopper if unfixed. S1=design change. S2=campaign. S3=watch. Applied in ENTERPRISE.md.</t>
        </is>
      </c>
    </row>
    <row r="3" ht="15" customHeight="1" s="27">
      <c r="A3" s="29" t="inlineStr">
        <is>
          <t>ID</t>
        </is>
      </c>
      <c r="B3" s="29" t="inlineStr">
        <is>
          <t>Area</t>
        </is>
      </c>
      <c r="C3" s="29" t="inlineStr">
        <is>
          <t>Finding</t>
        </is>
      </c>
      <c r="D3" s="29" t="inlineStr">
        <is>
          <t>Sev</t>
        </is>
      </c>
      <c r="E3" s="29" t="inlineStr">
        <is>
          <t>Rectification applied</t>
        </is>
      </c>
      <c r="F3" s="29" t="inlineStr">
        <is>
          <t>Residual</t>
        </is>
      </c>
    </row>
    <row r="4" ht="45.75" customHeight="1" s="27">
      <c r="A4" s="31" t="inlineStr">
        <is>
          <t>F01</t>
        </is>
      </c>
      <c r="B4" s="31" t="inlineStr">
        <is>
          <t>Thrust through tethers</t>
        </is>
      </c>
      <c r="C4" s="31" t="inlineStr">
        <is>
          <t>Inflatable corridors cannot carry TLI/TMI as a keel.</t>
        </is>
      </c>
      <c r="D4" s="48" t="inlineStr">
        <is>
          <t>S0</t>
        </is>
      </c>
      <c r="E4" s="31" t="inlineStr">
        <is>
          <t>Thrust-lock longerons during assist burns. Bladders slack. Kits L-C05 / M-C05.</t>
        </is>
      </c>
      <c r="F4" s="31" t="inlineStr">
        <is>
          <t>Longeron mass still E0.</t>
        </is>
      </c>
    </row>
    <row r="5" ht="45.75" customHeight="1" s="27">
      <c r="A5" s="31" t="inlineStr">
        <is>
          <t>F02</t>
        </is>
      </c>
      <c r="B5" s="31" t="inlineStr">
        <is>
          <t>Disc mass at 25 m</t>
        </is>
      </c>
      <c r="C5" s="31" t="inlineStr">
        <is>
          <t>Nine large discs imply many heavy-lift flights. Kit masses are orientation and likely low.</t>
        </is>
      </c>
      <c r="D5" s="49" t="inlineStr">
        <is>
          <t>S1</t>
        </is>
      </c>
      <c r="E5" s="31" t="inlineStr">
        <is>
          <t>Keep r=25 m for floor. Disc unit masses now 16–25 t band (ENTERPRISE.md). E1 may use 15–20 m radius. Fly L before M.</t>
        </is>
      </c>
      <c r="F5" s="31" t="inlineStr">
        <is>
          <t>Still a band, not a weigh-in.</t>
        </is>
      </c>
    </row>
    <row r="6" ht="45.75" customHeight="1" s="27">
      <c r="A6" s="31" t="inlineStr">
        <is>
          <t>F03</t>
        </is>
      </c>
      <c r="B6" s="31" t="inlineStr">
        <is>
          <t>Spinning remate</t>
        </is>
      </c>
      <c r="C6" s="31" t="inlineStr">
        <is>
          <t>Cannot remate two live spinning rims on IRIS Stage 0.</t>
        </is>
      </c>
      <c r="D6" s="48" t="inlineStr">
        <is>
          <t>S0</t>
        </is>
      </c>
      <c r="E6" s="31" t="inlineStr">
        <is>
          <t>Reorder only spun-down, preferably at Space Dock. IRIS I0 1.00 m / 12 hooks.</t>
        </is>
      </c>
      <c r="F6" s="31" t="inlineStr">
        <is>
          <t>Free-space swap is E2+.</t>
        </is>
      </c>
    </row>
    <row r="7" ht="45.75" customHeight="1" s="27">
      <c r="A7" s="31" t="inlineStr">
        <is>
          <t>F04</t>
        </is>
      </c>
      <c r="B7" s="31" t="inlineStr">
        <is>
          <t>Gel under solar</t>
        </is>
      </c>
      <c r="C7" s="31" t="inlineStr">
        <is>
          <t>Gel under cells cooks or shadows strings.</t>
        </is>
      </c>
      <c r="D7" s="49" t="inlineStr">
        <is>
          <t>S1</t>
        </is>
      </c>
      <c r="E7" s="31" t="inlineStr">
        <is>
          <t>Gel in bumper tiles only, not under live cell strings.</t>
        </is>
      </c>
      <c r="F7" s="31" t="inlineStr">
        <is>
          <t>Skin-solar life still a watch.</t>
        </is>
      </c>
    </row>
    <row r="8" ht="45.75" customHeight="1" s="27">
      <c r="A8" s="31" t="inlineStr">
        <is>
          <t>F05</t>
        </is>
      </c>
      <c r="B8" s="31" t="inlineStr">
        <is>
          <t>Hotel vs cruise power</t>
        </is>
      </c>
      <c r="C8" s="31" t="inlineStr">
        <is>
          <t>45 kWe hotels 12 people. Electric TMI is another plant class.</t>
        </is>
      </c>
      <c r="D8" s="49" t="inlineStr">
        <is>
          <t>S1</t>
        </is>
      </c>
      <c r="E8" s="31" t="inlineStr">
        <is>
          <t>Hybrid default. Chemical assist for published burns. N_hotel from assumptions.</t>
        </is>
      </c>
      <c r="F8" s="31" t="inlineStr">
        <is>
          <t>M assist load dominates.</t>
        </is>
      </c>
    </row>
    <row r="9" ht="45.75" customHeight="1" s="27">
      <c r="A9" s="31" t="inlineStr">
        <is>
          <t>F06</t>
        </is>
      </c>
      <c r="B9" s="31" t="inlineStr">
        <is>
          <t>Assist from LEO</t>
        </is>
      </c>
      <c r="C9" s="31" t="inlineStr">
        <is>
          <t>A heavy train cannot do TMI on a small flank pair from LEO without tankers.</t>
        </is>
      </c>
      <c r="D9" s="49" t="inlineStr">
        <is>
          <t>S1</t>
        </is>
      </c>
      <c r="E9" s="31" t="inlineStr">
        <is>
          <t>Skin cameras for view. No cabin viewports. Gel in bumper tiles only.</t>
        </is>
      </c>
      <c r="F9" s="31" t="inlineStr">
        <is>
          <t>Needs Space Dock D0-O / D0-E.</t>
        </is>
      </c>
    </row>
    <row r="10" ht="45.75" customHeight="1" s="27">
      <c r="A10" s="31" t="inlineStr">
        <is>
          <t>F07</t>
        </is>
      </c>
      <c r="B10" s="31" t="inlineStr">
        <is>
          <t>Magnetorquers in cruise</t>
        </is>
      </c>
      <c r="C10" s="31" t="inlineStr">
        <is>
          <t>Earth field dies after departure.</t>
        </is>
      </c>
      <c r="D10" s="50" t="inlineStr">
        <is>
          <t>S2</t>
        </is>
      </c>
      <c r="E10" s="31" t="inlineStr">
        <is>
          <t>M carries extra wheel spares. Cruise desat = wheels + flex.</t>
        </is>
      </c>
      <c r="F10" s="31" t="inlineStr">
        <is>
          <t>Wheel saturation.</t>
        </is>
      </c>
    </row>
    <row r="11" ht="45.75" customHeight="1" s="27">
      <c r="A11" s="31" t="inlineStr">
        <is>
          <t>F08</t>
        </is>
      </c>
      <c r="B11" s="31" t="inlineStr">
        <is>
          <t>12 cabins on one disc</t>
        </is>
      </c>
      <c r="C11" s="31" t="inlineStr">
        <is>
          <t>~700 m² ring floor can hold modest cabins.</t>
        </is>
      </c>
      <c r="D11" s="51" t="inlineStr">
        <is>
          <t>S3</t>
        </is>
      </c>
      <c r="E11" s="31" t="inlineStr">
        <is>
          <t>12–16 m² private + wash on disc 1. No hot-bunk.</t>
        </is>
      </c>
      <c r="F11" s="31" t="inlineStr">
        <is>
          <t>Layout drawing E0.</t>
        </is>
      </c>
    </row>
    <row r="12" ht="45.75" customHeight="1" s="27">
      <c r="A12" s="31" t="inlineStr">
        <is>
          <t>F09</t>
        </is>
      </c>
      <c r="B12" s="31" t="inlineStr">
        <is>
          <t>Mars food mass</t>
        </is>
      </c>
      <c r="C12" s="31" t="inlineStr">
        <is>
          <t>Transit food is tonnes. Surface stay is a pad traveler.</t>
        </is>
      </c>
      <c r="D12" s="50" t="inlineStr">
        <is>
          <t>S2</t>
        </is>
      </c>
      <c r="E12" s="31" t="inlineStr">
        <is>
          <t>Long-stores required. Food kg from assumptions.</t>
        </is>
      </c>
      <c r="F12" s="31" t="inlineStr">
        <is>
          <t>No hydro credit yet.</t>
        </is>
      </c>
    </row>
    <row r="13" ht="45.75" customHeight="1" s="27">
      <c r="A13" s="31" t="inlineStr">
        <is>
          <t>F10</t>
        </is>
      </c>
      <c r="B13" s="31" t="inlineStr">
        <is>
          <t>Single lander</t>
        </is>
      </c>
      <c r="C13" s="31" t="inlineStr">
        <is>
          <t>One lander as only lifeboat fails viability.</t>
        </is>
      </c>
      <c r="D13" s="49" t="inlineStr">
        <is>
          <t>S1</t>
        </is>
      </c>
      <c r="E13" s="31" t="inlineStr">
        <is>
          <t>L: 8 stay aboard. M: 6 stay + stay-aboard stores.</t>
        </is>
      </c>
      <c r="F13" s="31" t="inlineStr">
        <is>
          <t>M second lander optional.</t>
        </is>
      </c>
    </row>
    <row r="14" ht="45.75" customHeight="1" s="27">
      <c r="A14" s="31" t="inlineStr">
        <is>
          <t>F11</t>
        </is>
      </c>
      <c r="B14" s="31" t="inlineStr">
        <is>
          <t>Plant as government</t>
        </is>
      </c>
      <c r="C14" s="31" t="inlineStr">
        <is>
          <t>Hall that looks like a core invites custody = command.</t>
        </is>
      </c>
      <c r="D14" s="50" t="inlineStr">
        <is>
          <t>S2</t>
        </is>
      </c>
      <c r="E14" s="31" t="inlineStr">
        <is>
          <t>Trilateral kit seating. Unchanged Accord rule.</t>
        </is>
      </c>
      <c r="F14" s="31" t="inlineStr">
        <is>
          <t>Process.</t>
        </is>
      </c>
    </row>
    <row r="15" ht="45.75" customHeight="1" s="27">
      <c r="A15" s="31" t="inlineStr">
        <is>
          <t>F12</t>
        </is>
      </c>
      <c r="B15" s="31" t="inlineStr">
        <is>
          <t>RCS temptation</t>
        </is>
      </c>
      <c r="C15" s="31" t="inlineStr">
        <is>
          <t>Jets will be used if wheels saturate.</t>
        </is>
      </c>
      <c r="D15" s="49" t="inlineStr">
        <is>
          <t>S1</t>
        </is>
      </c>
      <c r="E15" s="31" t="inlineStr">
        <is>
          <t>RCS abort-class only. Written hybrid mode card.</t>
        </is>
      </c>
      <c r="F15" s="31" t="inlineStr">
        <is>
          <t>Training.</t>
        </is>
      </c>
    </row>
    <row r="16" ht="45.75" customHeight="1" s="27">
      <c r="A16" s="31" t="inlineStr">
        <is>
          <t>F13</t>
        </is>
      </c>
      <c r="B16" s="31" t="inlineStr">
        <is>
          <t>Whole design</t>
        </is>
      </c>
      <c r="C16" s="31" t="inlineStr">
        <is>
          <t>Coherent architecture if mass, thrust path, and dock exist. Not a 2026 flight article.</t>
        </is>
      </c>
      <c r="D16" s="49" t="inlineStr">
        <is>
          <t>S1</t>
        </is>
      </c>
      <c r="E16" s="31" t="inlineStr">
        <is>
          <t>E0–E3. L before M. Many launches. Hybrid + longerons + spun-down remate.</t>
        </is>
      </c>
      <c r="F16" s="31" t="inlineStr">
        <is>
          <t>Licensed source article still missing. Dock interface written (IRIS I0 + D0-E).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6" min="1" max="1"/>
    <col width="40" customWidth="1" style="26" min="2" max="2"/>
    <col width="12" customWidth="1" style="26" min="3" max="3"/>
    <col width="30" customWidth="1" style="26" min="4" max="4"/>
    <col width="34" customWidth="1" style="26" min="5" max="5"/>
  </cols>
  <sheetData>
    <row r="1" ht="27.75" customHeight="1" s="27">
      <c r="A1" s="28" t="inlineStr">
        <is>
          <t>E0 gate tracker</t>
        </is>
      </c>
    </row>
    <row r="3" ht="15" customHeight="1" s="27">
      <c r="A3" s="29" t="inlineStr">
        <is>
          <t>Gate</t>
        </is>
      </c>
      <c r="B3" s="29" t="inlineStr">
        <is>
          <t>Must name</t>
        </is>
      </c>
      <c r="C3" s="29" t="inlineStr">
        <is>
          <t>Status</t>
        </is>
      </c>
      <c r="D3" s="29" t="inlineStr">
        <is>
          <t>Owner packet</t>
        </is>
      </c>
      <c r="E3" s="29" t="inlineStr">
        <is>
          <t>Fail line</t>
        </is>
      </c>
    </row>
    <row r="4" ht="15" customHeight="1" s="27">
      <c r="A4" s="31" t="inlineStr">
        <is>
          <t>E0-K Consist</t>
        </is>
      </c>
      <c r="B4" s="31" t="inlineStr">
        <is>
          <t>L or M list, 12 crew, max length</t>
        </is>
      </c>
      <c r="C4" s="52" t="inlineStr">
        <is>
          <t>OPEN</t>
        </is>
      </c>
      <c r="D4" s="31" t="inlineStr">
        <is>
          <t>01_Consist</t>
        </is>
      </c>
      <c r="E4" s="31" t="inlineStr">
        <is>
          <t>No list = no train</t>
        </is>
      </c>
    </row>
    <row r="5" ht="15" customHeight="1" s="27">
      <c r="A5" s="31" t="inlineStr">
        <is>
          <t>E0-P Plant</t>
        </is>
      </c>
      <c r="B5" s="31" t="inlineStr">
        <is>
          <t>KP-10-S 5+2 or FSP-40-S, N, reject path</t>
        </is>
      </c>
      <c r="C5" s="52" t="inlineStr">
        <is>
          <t>OPEN</t>
        </is>
      </c>
      <c r="D5" s="31" t="inlineStr">
        <is>
          <t>02/03 P-rows + kit article</t>
        </is>
      </c>
      <c r="E5" s="31" t="inlineStr">
        <is>
          <t>No kit article = no hall</t>
        </is>
      </c>
    </row>
    <row r="6" ht="15" customHeight="1" s="27">
      <c r="A6" s="31" t="inlineStr">
        <is>
          <t>E0-T Thrust</t>
        </is>
      </c>
      <c r="B6" s="31" t="inlineStr">
        <is>
          <t>Hybrid card, longerons, assist tanks</t>
        </is>
      </c>
      <c r="C6" s="52" t="inlineStr">
        <is>
          <t>OPEN</t>
        </is>
      </c>
      <c r="D6" s="31" t="inlineStr">
        <is>
          <t>F01 + C05</t>
        </is>
      </c>
      <c r="E6" s="31" t="inlineStr">
        <is>
          <t>Thrust through bladder = dead</t>
        </is>
      </c>
    </row>
    <row r="7" ht="15" customHeight="1" s="27">
      <c r="A7" s="31" t="inlineStr">
        <is>
          <t>E0-G Gravity</t>
        </is>
      </c>
      <c r="B7" s="31" t="inlineStr">
        <is>
          <t>r, rpm, cabin area for 12</t>
        </is>
      </c>
      <c r="C7" s="52" t="inlineStr">
        <is>
          <t>OPEN</t>
        </is>
      </c>
      <c r="D7" s="31" t="inlineStr">
        <is>
          <t>00_Assumptions</t>
        </is>
      </c>
      <c r="E7" s="31" t="inlineStr">
        <is>
          <t>Unnamed Coriolis = no spin</t>
        </is>
      </c>
    </row>
    <row r="8" ht="15" customHeight="1" s="27">
      <c r="A8" s="31" t="inlineStr">
        <is>
          <t>E0-U Tether</t>
        </is>
      </c>
      <c r="B8" s="31" t="inlineStr">
        <is>
          <t>Span, layers, lock cone</t>
        </is>
      </c>
      <c r="C8" s="52" t="inlineStr">
        <is>
          <t>OPEN</t>
        </is>
      </c>
      <c r="D8" s="31" t="inlineStr">
        <is>
          <t>C01</t>
        </is>
      </c>
      <c r="E8" s="31" t="inlineStr">
        <is>
          <t>Limp joint = no train</t>
        </is>
      </c>
    </row>
    <row r="9" ht="15" customHeight="1" s="27">
      <c r="A9" s="31" t="inlineStr">
        <is>
          <t>E0-H Hull</t>
        </is>
      </c>
      <c r="B9" s="31" t="inlineStr">
        <is>
          <t>Skin solar map, gel tiles separate, cameras not viewports</t>
        </is>
      </c>
      <c r="C9" s="52" t="inlineStr">
        <is>
          <t>OPEN</t>
        </is>
      </c>
      <c r="D9" s="31" t="inlineStr">
        <is>
          <t>F04 + H-rows</t>
        </is>
      </c>
      <c r="E9" s="31" t="inlineStr">
        <is>
          <t>Gel under cells or rim picture window = fail</t>
        </is>
      </c>
    </row>
    <row r="10" ht="15" customHeight="1" s="27">
      <c r="A10" s="31" t="inlineStr">
        <is>
          <t>E0-A Attitude</t>
        </is>
      </c>
      <c r="B10" s="31" t="inlineStr">
        <is>
          <t>Wheels, torquers, desat, max consist</t>
        </is>
      </c>
      <c r="C10" s="52" t="inlineStr">
        <is>
          <t>OPEN</t>
        </is>
      </c>
      <c r="D10" s="31" t="inlineStr">
        <is>
          <t>C02–C04</t>
        </is>
      </c>
      <c r="E10" s="31" t="inlineStr">
        <is>
          <t>Gas-only turn = fail</t>
        </is>
      </c>
    </row>
    <row r="11" ht="15" customHeight="1" s="27">
      <c r="A11" s="31" t="inlineStr">
        <is>
          <t>E0-R Reorder</t>
        </is>
      </c>
      <c r="B11" s="31" t="inlineStr">
        <is>
          <t>IRIS Stage 0 1.00 m / 12 hooks, spin-down first</t>
        </is>
      </c>
      <c r="C11" s="52" t="inlineStr">
        <is>
          <t>OPEN</t>
        </is>
      </c>
      <c r="D11" s="31" t="inlineStr">
        <is>
          <t>F03</t>
        </is>
      </c>
      <c r="E11" s="31" t="inlineStr">
        <is>
          <t>Live-spin remate or live blades = fail</t>
        </is>
      </c>
    </row>
    <row r="12" ht="15" customHeight="1" s="27">
      <c r="A12" s="31" t="inlineStr">
        <is>
          <t>E0-C Comms</t>
        </is>
      </c>
      <c r="B12" s="31" t="inlineStr">
        <is>
          <t>Fore and aft independent</t>
        </is>
      </c>
      <c r="C12" s="52" t="inlineStr">
        <is>
          <t>OPEN</t>
        </is>
      </c>
      <c r="D12" s="31" t="inlineStr">
        <is>
          <t>P06 P07</t>
        </is>
      </c>
      <c r="E12" s="31" t="inlineStr">
        <is>
          <t>One array = fail</t>
        </is>
      </c>
    </row>
    <row r="13" ht="15" customHeight="1" s="27">
      <c r="A13" s="31" t="inlineStr">
        <is>
          <t>E0-L Lander</t>
        </is>
      </c>
      <c r="B13" s="31" t="inlineStr">
        <is>
          <t>Class, party, second path</t>
        </is>
      </c>
      <c r="C13" s="52" t="inlineStr">
        <is>
          <t>OPEN</t>
        </is>
      </c>
      <c r="D13" s="31" t="inlineStr">
        <is>
          <t>E02 + F10</t>
        </is>
      </c>
      <c r="E13" s="31" t="inlineStr">
        <is>
          <t>Only lifeboat = fail</t>
        </is>
      </c>
    </row>
    <row r="14" ht="15" customHeight="1" s="27">
      <c r="A14" s="31" t="inlineStr">
        <is>
          <t>E0-B Bus</t>
        </is>
      </c>
      <c r="B14" s="31" t="inlineStr">
        <is>
          <t>Bays, N vs n, bidirectional ties</t>
        </is>
      </c>
      <c r="C14" s="52" t="inlineStr">
        <is>
          <t>OPEN</t>
        </is>
      </c>
      <c r="D14" s="31" t="inlineStr">
        <is>
          <t>ENTERPRISE THB</t>
        </is>
      </c>
      <c r="E14" s="31" t="inlineStr">
        <is>
          <t>Folded numbers = fail</t>
        </is>
      </c>
    </row>
    <row r="15" ht="15" customHeight="1" s="27">
      <c r="A15" s="31" t="inlineStr">
        <is>
          <t>E0-S Stores</t>
        </is>
      </c>
      <c r="B15" s="31" t="inlineStr">
        <is>
          <t>Masses for variant</t>
        </is>
      </c>
      <c r="C15" s="52" t="inlineStr">
        <is>
          <t>OPEN</t>
        </is>
      </c>
      <c r="D15" s="31" t="inlineStr">
        <is>
          <t>04_Stores</t>
        </is>
      </c>
      <c r="E15" s="31" t="inlineStr">
        <is>
          <t>No days = no cruise</t>
        </is>
      </c>
    </row>
    <row r="16" ht="15" customHeight="1" s="27">
      <c r="A16" s="31" t="inlineStr">
        <is>
          <t>E0-D Dock</t>
        </is>
      </c>
      <c r="B16" s="31" t="inlineStr">
        <is>
          <t>Space Dock D0-B + D0-E + IRIS I0 match</t>
        </is>
      </c>
      <c r="C16" s="52" t="inlineStr">
        <is>
          <t>OPEN</t>
        </is>
      </c>
      <c r="D16" s="31" t="inlineStr">
        <is>
          <t>SPACE_DOCK.md D0-E</t>
        </is>
      </c>
      <c r="E16" s="31" t="inlineStr">
        <is>
          <t>No dock, or different opening than yard = no assembly</t>
        </is>
      </c>
    </row>
    <row r="17">
      <c r="A17" s="26" t="inlineStr">
        <is>
          <t>E0-E ECLSS</t>
        </is>
      </c>
      <c r="B17" s="26" t="inlineStr">
        <is>
          <t>Packet: stack, beds, tanks, 2-day O2 / 3-day CO2 backup</t>
        </is>
      </c>
      <c r="C17" s="26" t="inlineStr">
        <is>
          <t>OPEN</t>
        </is>
      </c>
      <c r="D17" s="26" t="inlineStr">
        <is>
          <t>ENTERPRISE.md ECLSS packet</t>
        </is>
      </c>
      <c r="E17" s="26" t="inlineStr">
        <is>
          <t>Vent as daily CO2 or bottles only on lander = fail</t>
        </is>
      </c>
    </row>
  </sheetData>
  <mergeCells count="1">
    <mergeCell ref="A1:E1"/>
  </mergeCells>
  <dataValidations count="1">
    <dataValidation sqref="C4:C16" showDropDown="0" showInputMessage="0" showErrorMessage="0" allowBlank="0" type="list" errorStyle="stop" operator="between">
      <formula1>"OPEN,IN WORK,CLOSED,WAIVED"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2026-09-25T01:25:19Z</dcterms:created>
  <dcterms:modified xmlns:dcterms="http://purl.org/dc/terms/" xmlns:xsi="http://www.w3.org/2001/XMLSchema-instance" xsi:type="dcterms:W3CDTF">2026-09-27T07:41:36Z</dcterms:modified>
  <cp:revision>0</cp:revision>
</cp:coreProperties>
</file>